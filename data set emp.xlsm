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901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____DS______\visulalization\data viz challange\data sets\testing\"/>
    </mc:Choice>
  </mc:AlternateContent>
  <xr:revisionPtr revIDLastSave="0" documentId="13_ncr:1_{A20002EE-314E-4EEE-A67A-695E6537ADD8}" xr6:coauthVersionLast="46" xr6:coauthVersionMax="46" xr10:uidLastSave="{00000000-0000-0000-0000-000000000000}"/>
  <bookViews>
    <workbookView xWindow="11028" yWindow="1764" windowWidth="12012" windowHeight="8964" activeTab="1" xr2:uid="{19CCA174-4B2D-4357-82DF-67CBBE261845}"/>
  </bookViews>
  <sheets>
    <sheet name="final" sheetId="3" r:id="rId1"/>
    <sheet name="Sheet1 (2)" sheetId="2" r:id="rId2"/>
  </sheets>
  <definedNames>
    <definedName name="ExternalData_2" localSheetId="0" hidden="1">final!$A$1:$U$16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U16" i="3" l="1"/>
  <c r="R16" i="3"/>
  <c r="O16" i="3"/>
  <c r="U15" i="3"/>
  <c r="R15" i="3"/>
  <c r="O15" i="3"/>
  <c r="U14" i="3"/>
  <c r="R14" i="3"/>
  <c r="O14" i="3"/>
  <c r="U13" i="3"/>
  <c r="R13" i="3"/>
  <c r="O13" i="3"/>
  <c r="U12" i="3"/>
  <c r="R12" i="3"/>
  <c r="O12" i="3"/>
  <c r="U11" i="3"/>
  <c r="R11" i="3"/>
  <c r="O11" i="3"/>
  <c r="U10" i="3"/>
  <c r="R10" i="3"/>
  <c r="O10" i="3"/>
  <c r="U9" i="3"/>
  <c r="R9" i="3"/>
  <c r="O9" i="3"/>
  <c r="U8" i="3"/>
  <c r="R8" i="3"/>
  <c r="O8" i="3"/>
  <c r="U7" i="3"/>
  <c r="R7" i="3"/>
  <c r="O7" i="3"/>
  <c r="U6" i="3"/>
  <c r="R6" i="3"/>
  <c r="O6" i="3"/>
  <c r="U5" i="3"/>
  <c r="R5" i="3"/>
  <c r="O5" i="3"/>
  <c r="U4" i="3"/>
  <c r="R4" i="3"/>
  <c r="O4" i="3"/>
  <c r="U3" i="3"/>
  <c r="R3" i="3"/>
  <c r="O3" i="3"/>
  <c r="U2" i="3"/>
  <c r="R2" i="3"/>
  <c r="O2" i="3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AB20F87F-FDDD-42B4-ABE4-661506A0C190}" keepAlive="1" name="Query - Worksheet" description="Connection to the 'Worksheet' query in the workbook." type="5" refreshedVersion="7" background="1" saveData="1">
    <dbPr connection="Provider=Microsoft.Mashup.OleDb.1;Data Source=$Workbook$;Location=Worksheet;Extended Properties=&quot;&quot;" command="SELECT * FROM [Worksheet]"/>
  </connection>
  <connection id="2" xr16:uid="{21DE841C-C044-431D-BF11-46846AD61376}" keepAlive="1" name="Query - Worksheet__3" description="Connection to the 'Worksheet__3' query in the workbook." type="5" refreshedVersion="0" background="1">
    <dbPr connection="Provider=Microsoft.Mashup.OleDb.1;Data Source=$Workbook$;Location=Worksheet__3;Extended Properties=&quot;&quot;" command="SELECT * FROM [Worksheet__3]"/>
  </connection>
  <connection id="3" xr16:uid="{C7968F88-FC7F-4CE9-8995-BF6081101A26}" keepAlive="1" name="Query - Worksheet1" description="Connection to the 'Worksheet1' query in the workbook." type="5" refreshedVersion="0" background="1">
    <dbPr connection="Provider=Microsoft.Mashup.OleDb.1;Data Source=$Workbook$;Location=Worksheet1;Extended Properties=&quot;&quot;" command="SELECT * FROM [Worksheet1]"/>
  </connection>
</connections>
</file>

<file path=xl/sharedStrings.xml><?xml version="1.0" encoding="utf-8"?>
<sst xmlns="http://schemas.openxmlformats.org/spreadsheetml/2006/main" count="1090" uniqueCount="158">
  <si>
    <t>Objective</t>
  </si>
  <si>
    <t>Sector</t>
  </si>
  <si>
    <t>Total Number of Works</t>
  </si>
  <si>
    <t>Total Number of Completed Works</t>
  </si>
  <si>
    <t>Works in progress/ Incomplete Works</t>
  </si>
  <si>
    <t>Achievement (in percent)</t>
  </si>
  <si>
    <t>District</t>
  </si>
  <si>
    <t>State</t>
  </si>
  <si>
    <t>Region</t>
  </si>
  <si>
    <t>Improving Agriculture Productivity</t>
  </si>
  <si>
    <t>Irrigation</t>
  </si>
  <si>
    <t>Dindori</t>
  </si>
  <si>
    <t>Madhya pradesh</t>
  </si>
  <si>
    <t>Central region</t>
  </si>
  <si>
    <t xml:space="preserve">Agriculture </t>
  </si>
  <si>
    <t>improving agri. Total</t>
  </si>
  <si>
    <t>Addressing Unemployment</t>
  </si>
  <si>
    <t>Gramin Haat</t>
  </si>
  <si>
    <t>Livelihood Promotion</t>
  </si>
  <si>
    <t>addressing un. Total</t>
  </si>
  <si>
    <t>Improving Social and Physical Infrastructure</t>
  </si>
  <si>
    <t>Health</t>
  </si>
  <si>
    <t>Education</t>
  </si>
  <si>
    <t>Road</t>
  </si>
  <si>
    <t>Others</t>
  </si>
  <si>
    <t>Bastar</t>
  </si>
  <si>
    <t>chattisgarh</t>
  </si>
  <si>
    <t>Agriculture &amp; allied Sector</t>
  </si>
  <si>
    <t>Capacity Building</t>
  </si>
  <si>
    <t>CFC Buildings</t>
  </si>
  <si>
    <t>Livelihood Support</t>
  </si>
  <si>
    <t>Rural Health Care, Education and Anganwari Centres</t>
  </si>
  <si>
    <t>Drinking Water</t>
  </si>
  <si>
    <t>Rural Connectivity</t>
  </si>
  <si>
    <t>Electricity</t>
  </si>
  <si>
    <t>improving social. Total</t>
  </si>
  <si>
    <t>Maintnance of Old Assets</t>
  </si>
  <si>
    <t>others Total</t>
  </si>
  <si>
    <t>Lohardaga</t>
  </si>
  <si>
    <t>Jharkhand</t>
  </si>
  <si>
    <t>Eastern region</t>
  </si>
  <si>
    <t>Live Stock</t>
  </si>
  <si>
    <t>Non farm activities</t>
  </si>
  <si>
    <t>Training &amp; Capacity Building</t>
  </si>
  <si>
    <t>Non Conventional Energy</t>
  </si>
  <si>
    <t>Primary Health Care Children &amp; Womens &amp; Education</t>
  </si>
  <si>
    <t>Connectivity for PTGS</t>
  </si>
  <si>
    <t>Eco Tourism</t>
  </si>
  <si>
    <t>kerala</t>
  </si>
  <si>
    <t>Southern region</t>
  </si>
  <si>
    <t>Agriculture &amp; Allied Sector</t>
  </si>
  <si>
    <t>Livelihood Support and Skills</t>
  </si>
  <si>
    <t xml:space="preserve">Drinking Water </t>
  </si>
  <si>
    <t>Rural Health Care, Education and Social Welfare</t>
  </si>
  <si>
    <t>Solid Waste Management and ETP</t>
  </si>
  <si>
    <t>Agriculture 20 dia well</t>
  </si>
  <si>
    <t>Soil Con. &amp; Water Mgmt.</t>
  </si>
  <si>
    <t>Goatry</t>
  </si>
  <si>
    <t>Poltry</t>
  </si>
  <si>
    <t>Women Empowerment</t>
  </si>
  <si>
    <t>Market Linkage</t>
  </si>
  <si>
    <t>ICDS Centre (Anganwadi Centre)</t>
  </si>
  <si>
    <t>PHC</t>
  </si>
  <si>
    <t>Education Intervention</t>
  </si>
  <si>
    <t>Slum Area Development</t>
  </si>
  <si>
    <t>Forestry</t>
  </si>
  <si>
    <t>Agriculture</t>
  </si>
  <si>
    <t>orissa</t>
  </si>
  <si>
    <t>Soil Conservation</t>
  </si>
  <si>
    <t>Fishries</t>
  </si>
  <si>
    <t>Industry</t>
  </si>
  <si>
    <t>Poultry</t>
  </si>
  <si>
    <t>TRDC</t>
  </si>
  <si>
    <t>Sericulture</t>
  </si>
  <si>
    <t>AWC</t>
  </si>
  <si>
    <t>Sports</t>
  </si>
  <si>
    <t>Electrification</t>
  </si>
  <si>
    <t>Physical Infrastructure</t>
  </si>
  <si>
    <t>Tourism</t>
  </si>
  <si>
    <t>Warangal</t>
  </si>
  <si>
    <t>Telangana</t>
  </si>
  <si>
    <t>Animal Husbandry</t>
  </si>
  <si>
    <t>Handloom and Textile</t>
  </si>
  <si>
    <t>Social Welfare</t>
  </si>
  <si>
    <t>Drinking Water/ Sanitation</t>
  </si>
  <si>
    <t>Roads</t>
  </si>
  <si>
    <t>Documentation and Monitoring</t>
  </si>
  <si>
    <t>Ganjam</t>
  </si>
  <si>
    <t>Livelyhood Support and Skills</t>
  </si>
  <si>
    <t>Drinking Water &amp; Sanitation</t>
  </si>
  <si>
    <t>Improving social. Total</t>
  </si>
  <si>
    <t>Chamba</t>
  </si>
  <si>
    <t>Himanchal pradesh</t>
  </si>
  <si>
    <t>Northern region</t>
  </si>
  <si>
    <t>Horticulture</t>
  </si>
  <si>
    <t>Fishery</t>
  </si>
  <si>
    <t>Ayurvedic Centres</t>
  </si>
  <si>
    <t>Rain Shelter</t>
  </si>
  <si>
    <t>IT</t>
  </si>
  <si>
    <t xml:space="preserve">Infrastructure Strengthening </t>
  </si>
  <si>
    <t>Monitoring and Evaluation</t>
  </si>
  <si>
    <t>Agriculture / Horticulture</t>
  </si>
  <si>
    <t>Banswara</t>
  </si>
  <si>
    <t>Rajasthan</t>
  </si>
  <si>
    <t>Training</t>
  </si>
  <si>
    <t>Dairy</t>
  </si>
  <si>
    <t>Baseline Survey</t>
  </si>
  <si>
    <t>Saraikela</t>
  </si>
  <si>
    <t>Irrigation (Pond/Checkdam)</t>
  </si>
  <si>
    <t>EGS Cum Anganwadi Centre</t>
  </si>
  <si>
    <t>Road and Culverts Connectivity</t>
  </si>
  <si>
    <t>Dangs</t>
  </si>
  <si>
    <t>Gujarat</t>
  </si>
  <si>
    <t>Western region</t>
  </si>
  <si>
    <t>Small and Medium Term Investment (SMTI)</t>
  </si>
  <si>
    <t>mon</t>
  </si>
  <si>
    <t>Nagaland</t>
  </si>
  <si>
    <t>Buy Back Revolving Fund (BBRF)</t>
  </si>
  <si>
    <t>Chandauli</t>
  </si>
  <si>
    <t>Uttar pradesh</t>
  </si>
  <si>
    <t>Handloom</t>
  </si>
  <si>
    <t>ICDS</t>
  </si>
  <si>
    <t>Infrastructure Strengthening</t>
  </si>
  <si>
    <t>Sitapur</t>
  </si>
  <si>
    <t>Gopal Yojana</t>
  </si>
  <si>
    <t xml:space="preserve">Community Development </t>
  </si>
  <si>
    <t>Forest</t>
  </si>
  <si>
    <t>States</t>
  </si>
  <si>
    <t>Agriculture - Total Number of Works</t>
  </si>
  <si>
    <t>Agriculture - Total Number of Completed Works</t>
  </si>
  <si>
    <t>Agriculture - Achievement (in percent)</t>
  </si>
  <si>
    <t>Addressing Unemployment -Total Number of Works</t>
  </si>
  <si>
    <t>Addressing Unemployment -Total Number of Completed Works</t>
  </si>
  <si>
    <t>Addressing Unemployment -Achievement (in percent)</t>
  </si>
  <si>
    <t>Physical and Social Infrastructure - Total Number of Works</t>
  </si>
  <si>
    <t>Physical and Social Infrastructure - Total Number of Completed Works</t>
  </si>
  <si>
    <t>Physical and Social Infrastructure - Achievement (in percent)</t>
  </si>
  <si>
    <t>Others - Total Number of Works</t>
  </si>
  <si>
    <t>Others - Total Number of Completed Works</t>
  </si>
  <si>
    <t>Others - Achievement (in percent)</t>
  </si>
  <si>
    <t>Total achievement</t>
  </si>
  <si>
    <t>Sanctioned Amount (Rs. in lakhs)</t>
  </si>
  <si>
    <t>Expenditure (Rs. in Lakhs)</t>
  </si>
  <si>
    <t>Expenditure Achievement (in percent)</t>
  </si>
  <si>
    <t>work Achievement (in percent)</t>
  </si>
  <si>
    <t>Uttar Pradesh</t>
  </si>
  <si>
    <t>Chatra</t>
  </si>
  <si>
    <t>Mon</t>
  </si>
  <si>
    <t>Orissa</t>
  </si>
  <si>
    <t>Mayurbhanj</t>
  </si>
  <si>
    <t>Pallakkad</t>
  </si>
  <si>
    <t>Kerala</t>
  </si>
  <si>
    <t>Chattisgarh</t>
  </si>
  <si>
    <t>Himachal pradesh</t>
  </si>
  <si>
    <t>pallakkad</t>
  </si>
  <si>
    <t>mayurbhanj</t>
  </si>
  <si>
    <t>improving Agri. Total</t>
  </si>
  <si>
    <t>agriculture &amp; allied Sector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</si>
</sst>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11"/>
      <color rgb="FF4D5156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2" fontId="0" fillId="0" borderId="0" xfId="0" applyNumberFormat="1"/>
    <xf numFmtId="0" fontId="1" fillId="0" borderId="0" xfId="0" applyFont="1"/>
    <xf numFmtId="0" fontId="0" fillId="0" borderId="0" xfId="0" applyNumberFormat="1"/>
  </cellXfs>
  <cellStyles count="1">
    <cellStyle name="Normal" xfId="0" builtinId="0"/>
  </cellStyles>
  <dxfs count="5">
    <dxf>
      <numFmt numFmtId="2" formatCode="0.00"/>
    </dxf>
    <dxf>
      <numFmt numFmtId="2" formatCode="0.00"/>
    </dxf>
    <dxf>
      <numFmt numFmtId="2" formatCode="0.00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connections" Target="connections.xml"/><Relationship Id="rId9" Type="http://schemas.microsoft.com/office/2006/relationships/vbaProject" Target="vbaProject.bin"/></Relationships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1" xr16:uid="{EFACDB27-5787-47D6-A35B-93ABA723094D}" autoFormatId="16" applyNumberFormats="0" applyBorderFormats="0" applyFontFormats="0" applyPatternFormats="0" applyAlignmentFormats="0" applyWidthHeightFormats="0">
  <queryTableRefresh nextId="23">
    <queryTableFields count="21">
      <queryTableField id="1" name="District" tableColumnId="1"/>
      <queryTableField id="22" dataBound="0" tableColumnId="15"/>
      <queryTableField id="2" name="Agriculture - Total Number of Works" tableColumnId="2"/>
      <queryTableField id="3" name="Agriculture - Total Number of Completed Works" tableColumnId="3"/>
      <queryTableField id="4" name="Agriculture - Achievement (in percent)" tableColumnId="4"/>
      <queryTableField id="5" name="Addressing Unemployment -Total Number of Works" tableColumnId="5"/>
      <queryTableField id="6" name="Addressing Unemployment -Total Number of Completed Works" tableColumnId="6"/>
      <queryTableField id="7" name="Addressing Unemployment -Achievement (in percent)" tableColumnId="7"/>
      <queryTableField id="8" name="Physical and Social Infrastructure - Total Number of Works" tableColumnId="8"/>
      <queryTableField id="9" name="Physical and Social Infrastructure - Total Number of Completed Works" tableColumnId="9"/>
      <queryTableField id="10" name="Physical and Social Infrastructure - Achievement (in percent)" tableColumnId="10"/>
      <queryTableField id="11" name="Others - Total Number of Works" tableColumnId="11"/>
      <queryTableField id="12" name="Others - Total Number of Completed Works" tableColumnId="12"/>
      <queryTableField id="13" name="Others - Achievement (in percent)" tableColumnId="13"/>
      <queryTableField id="14" name="Worksheet__3.my achievment" tableColumnId="14"/>
      <queryTableField id="16" name="Worksheet__3.Worksheet1.Sanctioned Amount (Rs. in lakhs)" tableColumnId="16"/>
      <queryTableField id="17" name="Worksheet__3.Worksheet1.Expenditure (Rs. in Lakhs)" tableColumnId="17"/>
      <queryTableField id="18" name="Worksheet__3.Worksheet1.Achievement (in percent)" tableColumnId="18"/>
      <queryTableField id="19" name="Worksheet__3.Worksheet1.Worksheet (2).Total Number of Works" tableColumnId="19"/>
      <queryTableField id="20" name="Worksheet__3.Worksheet1.Worksheet (2).Total Number of Completed Works" tableColumnId="20"/>
      <queryTableField id="21" name="Worksheet__3.Worksheet1.Worksheet (2).Achievement (in percent)" tableColumnId="21"/>
    </queryTableFields>
    <queryTableDeletedFields count="1">
      <deletedField name="Worksheet__3.Worksheet1.Name of the District"/>
    </queryTableDeleted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CA7B467-A071-44A3-BEB4-75D5623F7C3C}" name="Worksheet" displayName="Worksheet" ref="A1:U16" tableType="queryTable" totalsRowShown="0">
  <autoFilter ref="A1:U16" xr:uid="{E3E23B1D-5E72-4F80-AC56-74FC591B1C00}"/>
  <tableColumns count="21">
    <tableColumn id="1" xr3:uid="{EF28465B-7BC8-46F3-BA7D-EFE43C26BAB8}" uniqueName="1" name="District" queryTableFieldId="1" dataDxfId="4"/>
    <tableColumn id="15" xr3:uid="{B18681B0-E408-4D42-8462-44B496428985}" uniqueName="15" name="States" queryTableFieldId="22" dataDxfId="3"/>
    <tableColumn id="2" xr3:uid="{95E6BA77-1943-484D-A959-EB0FFDA26660}" uniqueName="2" name="Agriculture - Total Number of Works" queryTableFieldId="2"/>
    <tableColumn id="3" xr3:uid="{78F12CC8-33D7-453A-9BCB-0D33474B2F69}" uniqueName="3" name="Agriculture - Total Number of Completed Works" queryTableFieldId="3"/>
    <tableColumn id="4" xr3:uid="{3AA6EAAC-6D65-4981-8666-32C4BA99349F}" uniqueName="4" name="Agriculture - Achievement (in percent)" queryTableFieldId="4"/>
    <tableColumn id="5" xr3:uid="{871B426C-2FF6-4CF2-9D78-F909BB22465B}" uniqueName="5" name="Addressing Unemployment -Total Number of Works" queryTableFieldId="5"/>
    <tableColumn id="6" xr3:uid="{CED01F3E-5B6C-4EEF-BB38-BFFE0FDD0D2B}" uniqueName="6" name="Addressing Unemployment -Total Number of Completed Works" queryTableFieldId="6"/>
    <tableColumn id="7" xr3:uid="{EDE81F2B-A520-445A-AF89-B7A332BC292A}" uniqueName="7" name="Addressing Unemployment -Achievement (in percent)" queryTableFieldId="7"/>
    <tableColumn id="8" xr3:uid="{672AA2B6-C5CE-4E90-AC84-83995DD2FA91}" uniqueName="8" name="Physical and Social Infrastructure - Total Number of Works" queryTableFieldId="8"/>
    <tableColumn id="9" xr3:uid="{7D072C03-6260-485C-AE03-85BDE577B759}" uniqueName="9" name="Physical and Social Infrastructure - Total Number of Completed Works" queryTableFieldId="9"/>
    <tableColumn id="10" xr3:uid="{8D440CC6-8C91-4164-A6DC-E7542840B9E8}" uniqueName="10" name="Physical and Social Infrastructure - Achievement (in percent)" queryTableFieldId="10"/>
    <tableColumn id="11" xr3:uid="{9179D87F-147D-4765-BE89-1070F1F2917D}" uniqueName="11" name="Others - Total Number of Works" queryTableFieldId="11"/>
    <tableColumn id="12" xr3:uid="{D1412CEC-A2B0-42B3-A6E5-1DAB1B34707C}" uniqueName="12" name="Others - Total Number of Completed Works" queryTableFieldId="12"/>
    <tableColumn id="13" xr3:uid="{21547243-65D4-4280-B806-BB10FC7CE5DE}" uniqueName="13" name="Others - Achievement (in percent)" queryTableFieldId="13"/>
    <tableColumn id="14" xr3:uid="{537D72FC-B44F-4577-9B14-226507887D9F}" uniqueName="14" name="Total achievement" queryTableFieldId="14" dataDxfId="2"/>
    <tableColumn id="16" xr3:uid="{2FDB9ED6-4F13-4258-95CC-8B37D02B26A0}" uniqueName="16" name="Sanctioned Amount (Rs. in lakhs)" queryTableFieldId="16"/>
    <tableColumn id="17" xr3:uid="{939D8D03-5DC1-49EE-8034-A9BE96ECB835}" uniqueName="17" name="Expenditure (Rs. in Lakhs)" queryTableFieldId="17"/>
    <tableColumn id="18" xr3:uid="{0BD8BE0D-675B-429F-B975-F884A33BA387}" uniqueName="18" name="Expenditure Achievement (in percent)" queryTableFieldId="18" dataDxfId="1"/>
    <tableColumn id="19" xr3:uid="{FE4C1EF6-BB4A-472F-BC8F-D37BFA365969}" uniqueName="19" name="Total Number of Works" queryTableFieldId="19"/>
    <tableColumn id="20" xr3:uid="{AC5CB2F4-95CC-4E24-B6D3-28A2D9C9D815}" uniqueName="20" name="Total Number of Completed Works" queryTableFieldId="20"/>
    <tableColumn id="21" xr3:uid="{FC28DD5B-C6E8-4587-A073-33E26E0963A6}" uniqueName="21" name="work Achievement (in percent)" queryTableFieldId="21" dataDxfId="0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3442F7-F8BE-4C38-952E-234A83709AE3}">
  <sheetPr codeName="Sheet5"/>
  <dimension ref="A1:U16"/>
  <sheetViews>
    <sheetView topLeftCell="M1" workbookViewId="0">
      <selection activeCell="N7" sqref="N7"/>
    </sheetView>
  </sheetViews>
  <sheetFormatPr defaultRowHeight="14.4" x14ac:dyDescent="0.3"/>
  <cols>
    <col min="1" max="1" width="10.6640625" bestFit="1" customWidth="1"/>
    <col min="2" max="2" width="10.6640625" customWidth="1"/>
    <col min="3" max="3" width="34.109375" bestFit="1" customWidth="1"/>
    <col min="4" max="4" width="44.109375" bestFit="1" customWidth="1"/>
    <col min="5" max="5" width="36" bestFit="1" customWidth="1"/>
    <col min="6" max="6" width="47.6640625" bestFit="1" customWidth="1"/>
    <col min="7" max="7" width="57.6640625" bestFit="1" customWidth="1"/>
    <col min="8" max="8" width="49.5546875" bestFit="1" customWidth="1"/>
    <col min="9" max="9" width="53.21875" bestFit="1" customWidth="1"/>
    <col min="10" max="10" width="63.109375" bestFit="1" customWidth="1"/>
    <col min="11" max="11" width="55" bestFit="1" customWidth="1"/>
    <col min="12" max="12" width="30.33203125" bestFit="1" customWidth="1"/>
    <col min="13" max="13" width="40.33203125" bestFit="1" customWidth="1"/>
    <col min="14" max="14" width="32.21875" bestFit="1" customWidth="1"/>
    <col min="15" max="15" width="29.33203125" style="1" bestFit="1" customWidth="1"/>
    <col min="16" max="16" width="55.44140625" bestFit="1" customWidth="1"/>
    <col min="17" max="17" width="49.109375" bestFit="1" customWidth="1"/>
    <col min="18" max="18" width="48.88671875" style="1" bestFit="1" customWidth="1"/>
    <col min="19" max="19" width="59.77734375" bestFit="1" customWidth="1"/>
    <col min="20" max="20" width="69.77734375" bestFit="1" customWidth="1"/>
    <col min="21" max="21" width="61.6640625" style="1" bestFit="1" customWidth="1"/>
  </cols>
  <sheetData>
    <row r="1" spans="1:21" x14ac:dyDescent="0.3">
      <c r="A1" t="s">
        <v>6</v>
      </c>
      <c r="B1" t="s">
        <v>127</v>
      </c>
      <c r="C1" t="s">
        <v>128</v>
      </c>
      <c r="D1" t="s">
        <v>129</v>
      </c>
      <c r="E1" t="s">
        <v>130</v>
      </c>
      <c r="F1" t="s">
        <v>131</v>
      </c>
      <c r="G1" t="s">
        <v>132</v>
      </c>
      <c r="H1" t="s">
        <v>133</v>
      </c>
      <c r="I1" t="s">
        <v>134</v>
      </c>
      <c r="J1" t="s">
        <v>135</v>
      </c>
      <c r="K1" t="s">
        <v>136</v>
      </c>
      <c r="L1" t="s">
        <v>137</v>
      </c>
      <c r="M1" t="s">
        <v>138</v>
      </c>
      <c r="N1" t="s">
        <v>139</v>
      </c>
      <c r="O1" s="1" t="s">
        <v>140</v>
      </c>
      <c r="P1" t="s">
        <v>141</v>
      </c>
      <c r="Q1" t="s">
        <v>142</v>
      </c>
      <c r="R1" s="1" t="s">
        <v>143</v>
      </c>
      <c r="S1" t="s">
        <v>2</v>
      </c>
      <c r="T1" t="s">
        <v>3</v>
      </c>
      <c r="U1" s="1" t="s">
        <v>144</v>
      </c>
    </row>
    <row r="2" spans="1:21" x14ac:dyDescent="0.3">
      <c r="A2" t="s">
        <v>123</v>
      </c>
      <c r="B2" s="2" t="s">
        <v>145</v>
      </c>
      <c r="C2">
        <v>62</v>
      </c>
      <c r="D2">
        <v>59</v>
      </c>
      <c r="E2">
        <v>95.2</v>
      </c>
      <c r="F2">
        <v>842</v>
      </c>
      <c r="G2">
        <v>842</v>
      </c>
      <c r="H2">
        <v>100</v>
      </c>
      <c r="I2">
        <v>251</v>
      </c>
      <c r="J2">
        <v>233</v>
      </c>
      <c r="K2">
        <v>92.8</v>
      </c>
      <c r="L2">
        <v>10</v>
      </c>
      <c r="M2">
        <v>10</v>
      </c>
      <c r="N2">
        <v>100</v>
      </c>
      <c r="O2" s="1">
        <f>ROUND(SUM(Worksheet[[#This Row],[Agriculture - Total Number of Completed Works]],Worksheet[[#This Row],[Addressing Unemployment -Total Number of Completed Works]],Worksheet[[#This Row],[Physical and Social Infrastructure - Total Number of Completed Works]],Worksheet[[#This Row],[Others - Total Number of Completed Works]])/SUM(Worksheet[[#This Row],[Agriculture - Total Number of Works]],Worksheet[[#This Row],[Addressing Unemployment -Total Number of Works]],Worksheet[[#This Row],[Physical and Social Infrastructure - Total Number of Works]],Worksheet[[#This Row],[Others - Total Number of Works]])*100,2)</f>
        <v>98.2</v>
      </c>
      <c r="P2">
        <v>4200.21</v>
      </c>
      <c r="Q2">
        <v>3884.91</v>
      </c>
      <c r="R2" s="1">
        <f>Worksheet[[#This Row],[Expenditure (Rs. in Lakhs)]]/Worksheet[[#This Row],[Sanctioned Amount (Rs. in lakhs)]]*100</f>
        <v>92.493232481233079</v>
      </c>
      <c r="S2">
        <v>1155</v>
      </c>
      <c r="T2">
        <v>1134</v>
      </c>
      <c r="U2" s="1">
        <f>Worksheet[[#This Row],[Total Number of Completed Works]]/Worksheet[[#This Row],[Total Number of Works]]*100</f>
        <v>98.181818181818187</v>
      </c>
    </row>
    <row r="3" spans="1:21" x14ac:dyDescent="0.3">
      <c r="A3" t="s">
        <v>118</v>
      </c>
      <c r="B3" t="s">
        <v>145</v>
      </c>
      <c r="C3">
        <v>132</v>
      </c>
      <c r="D3">
        <v>123</v>
      </c>
      <c r="E3">
        <v>93.2</v>
      </c>
      <c r="F3">
        <v>330</v>
      </c>
      <c r="G3">
        <v>324</v>
      </c>
      <c r="H3">
        <v>98.2</v>
      </c>
      <c r="I3">
        <v>416</v>
      </c>
      <c r="J3">
        <v>402</v>
      </c>
      <c r="K3">
        <v>96.6</v>
      </c>
      <c r="L3">
        <v>0</v>
      </c>
      <c r="M3">
        <v>0</v>
      </c>
      <c r="N3">
        <v>0</v>
      </c>
      <c r="O3" s="1">
        <f>ROUND(SUM(Worksheet[[#This Row],[Agriculture - Total Number of Completed Works]],Worksheet[[#This Row],[Addressing Unemployment -Total Number of Completed Works]],Worksheet[[#This Row],[Physical and Social Infrastructure - Total Number of Completed Works]],Worksheet[[#This Row],[Others - Total Number of Completed Works]])/SUM(Worksheet[[#This Row],[Agriculture - Total Number of Works]],Worksheet[[#This Row],[Addressing Unemployment -Total Number of Works]],Worksheet[[#This Row],[Physical and Social Infrastructure - Total Number of Works]],Worksheet[[#This Row],[Others - Total Number of Works]])*100,2)</f>
        <v>96.7</v>
      </c>
      <c r="P3">
        <v>4380.2299999999996</v>
      </c>
      <c r="Q3">
        <v>3469</v>
      </c>
      <c r="R3" s="1">
        <f>Worksheet[[#This Row],[Expenditure (Rs. in Lakhs)]]/Worksheet[[#This Row],[Sanctioned Amount (Rs. in lakhs)]]*100</f>
        <v>79.196754508324915</v>
      </c>
      <c r="S3">
        <v>878</v>
      </c>
      <c r="T3">
        <v>849</v>
      </c>
      <c r="U3" s="1">
        <f>Worksheet[[#This Row],[Total Number of Completed Works]]/Worksheet[[#This Row],[Total Number of Works]]*100</f>
        <v>96.69703872437357</v>
      </c>
    </row>
    <row r="4" spans="1:21" x14ac:dyDescent="0.3">
      <c r="A4" t="s">
        <v>38</v>
      </c>
      <c r="B4" t="s">
        <v>39</v>
      </c>
      <c r="C4">
        <v>2106</v>
      </c>
      <c r="D4">
        <v>1969</v>
      </c>
      <c r="E4">
        <v>93.5</v>
      </c>
      <c r="F4">
        <v>2558</v>
      </c>
      <c r="G4">
        <v>2419</v>
      </c>
      <c r="H4">
        <v>94.6</v>
      </c>
      <c r="I4">
        <v>175</v>
      </c>
      <c r="J4">
        <v>159</v>
      </c>
      <c r="K4">
        <v>90.9</v>
      </c>
      <c r="L4">
        <v>5</v>
      </c>
      <c r="M4">
        <v>2</v>
      </c>
      <c r="N4">
        <v>40</v>
      </c>
      <c r="O4" s="1">
        <f>ROUND(SUM(Worksheet[[#This Row],[Agriculture - Total Number of Completed Works]],Worksheet[[#This Row],[Addressing Unemployment -Total Number of Completed Works]],Worksheet[[#This Row],[Physical and Social Infrastructure - Total Number of Completed Works]],Worksheet[[#This Row],[Others - Total Number of Completed Works]])/SUM(Worksheet[[#This Row],[Agriculture - Total Number of Works]],Worksheet[[#This Row],[Addressing Unemployment -Total Number of Works]],Worksheet[[#This Row],[Physical and Social Infrastructure - Total Number of Works]],Worksheet[[#This Row],[Others - Total Number of Works]])*100,2)</f>
        <v>93.91</v>
      </c>
      <c r="P4">
        <v>4500</v>
      </c>
      <c r="Q4">
        <v>4500</v>
      </c>
      <c r="R4" s="1">
        <f>Worksheet[[#This Row],[Expenditure (Rs. in Lakhs)]]/Worksheet[[#This Row],[Sanctioned Amount (Rs. in lakhs)]]*100</f>
        <v>100</v>
      </c>
      <c r="S4">
        <v>4839</v>
      </c>
      <c r="T4">
        <v>4547</v>
      </c>
      <c r="U4" s="1">
        <f>Worksheet[[#This Row],[Total Number of Completed Works]]/Worksheet[[#This Row],[Total Number of Works]]*100</f>
        <v>93.965695391609842</v>
      </c>
    </row>
    <row r="5" spans="1:21" x14ac:dyDescent="0.3">
      <c r="A5" t="s">
        <v>102</v>
      </c>
      <c r="B5" t="s">
        <v>103</v>
      </c>
      <c r="C5">
        <v>1182</v>
      </c>
      <c r="D5">
        <v>1179</v>
      </c>
      <c r="E5">
        <v>99.7</v>
      </c>
      <c r="F5">
        <v>329</v>
      </c>
      <c r="G5">
        <v>316</v>
      </c>
      <c r="H5">
        <v>96</v>
      </c>
      <c r="I5">
        <v>562</v>
      </c>
      <c r="J5">
        <v>556</v>
      </c>
      <c r="K5">
        <v>98.9</v>
      </c>
      <c r="L5">
        <v>52</v>
      </c>
      <c r="M5">
        <v>52</v>
      </c>
      <c r="N5">
        <v>100</v>
      </c>
      <c r="O5" s="1">
        <f>ROUND(SUM(Worksheet[[#This Row],[Agriculture - Total Number of Completed Works]],Worksheet[[#This Row],[Addressing Unemployment -Total Number of Completed Works]],Worksheet[[#This Row],[Physical and Social Infrastructure - Total Number of Completed Works]],Worksheet[[#This Row],[Others - Total Number of Completed Works]])/SUM(Worksheet[[#This Row],[Agriculture - Total Number of Works]],Worksheet[[#This Row],[Addressing Unemployment -Total Number of Works]],Worksheet[[#This Row],[Physical and Social Infrastructure - Total Number of Works]],Worksheet[[#This Row],[Others - Total Number of Works]])*100,2)</f>
        <v>98.96</v>
      </c>
      <c r="P5">
        <v>4421.76</v>
      </c>
      <c r="Q5">
        <v>4421.76</v>
      </c>
      <c r="R5" s="1">
        <f>Worksheet[[#This Row],[Expenditure (Rs. in Lakhs)]]/Worksheet[[#This Row],[Sanctioned Amount (Rs. in lakhs)]]*100</f>
        <v>100</v>
      </c>
      <c r="S5">
        <v>2073</v>
      </c>
      <c r="T5">
        <v>2051</v>
      </c>
      <c r="U5" s="1">
        <f>Worksheet[[#This Row],[Total Number of Completed Works]]/Worksheet[[#This Row],[Total Number of Works]]*100</f>
        <v>98.938736131210803</v>
      </c>
    </row>
    <row r="6" spans="1:21" x14ac:dyDescent="0.3">
      <c r="A6" t="s">
        <v>107</v>
      </c>
      <c r="B6" t="s">
        <v>39</v>
      </c>
      <c r="C6">
        <v>212</v>
      </c>
      <c r="D6">
        <v>59</v>
      </c>
      <c r="E6">
        <v>27.8</v>
      </c>
      <c r="F6">
        <v>4</v>
      </c>
      <c r="G6">
        <v>0</v>
      </c>
      <c r="H6">
        <v>0</v>
      </c>
      <c r="I6">
        <v>251</v>
      </c>
      <c r="J6">
        <v>79</v>
      </c>
      <c r="K6">
        <v>31.5</v>
      </c>
      <c r="L6">
        <v>0</v>
      </c>
      <c r="M6">
        <v>0</v>
      </c>
      <c r="N6">
        <v>0</v>
      </c>
      <c r="O6" s="1">
        <f>ROUND(SUM(Worksheet[[#This Row],[Agriculture - Total Number of Completed Works]],Worksheet[[#This Row],[Addressing Unemployment -Total Number of Completed Works]],Worksheet[[#This Row],[Physical and Social Infrastructure - Total Number of Completed Works]])/SUM(Worksheet[[#This Row],[Agriculture - Total Number of Works]],Worksheet[[#This Row],[Addressing Unemployment -Total Number of Works]],Worksheet[[#This Row],[Physical and Social Infrastructure - Total Number of Works]])*100,2)</f>
        <v>29.55</v>
      </c>
      <c r="P6">
        <v>4256.8</v>
      </c>
      <c r="Q6">
        <v>4256.8</v>
      </c>
      <c r="R6" s="1">
        <f>Worksheet[[#This Row],[Expenditure (Rs. in Lakhs)]]/Worksheet[[#This Row],[Sanctioned Amount (Rs. in lakhs)]]*100</f>
        <v>100</v>
      </c>
      <c r="S6">
        <v>467</v>
      </c>
      <c r="T6">
        <v>465</v>
      </c>
      <c r="U6" s="1">
        <f>Worksheet[[#This Row],[Total Number of Completed Works]]/Worksheet[[#This Row],[Total Number of Works]]*100</f>
        <v>99.571734475374726</v>
      </c>
    </row>
    <row r="7" spans="1:21" x14ac:dyDescent="0.3">
      <c r="A7" t="s">
        <v>146</v>
      </c>
      <c r="B7" t="s">
        <v>39</v>
      </c>
      <c r="C7">
        <v>203</v>
      </c>
      <c r="D7">
        <v>115</v>
      </c>
      <c r="E7">
        <v>56.7</v>
      </c>
      <c r="F7">
        <v>8</v>
      </c>
      <c r="G7">
        <v>3</v>
      </c>
      <c r="H7">
        <v>37.5</v>
      </c>
      <c r="I7">
        <v>250</v>
      </c>
      <c r="J7">
        <v>142</v>
      </c>
      <c r="K7">
        <v>56.8</v>
      </c>
      <c r="L7">
        <v>5</v>
      </c>
      <c r="M7">
        <v>5</v>
      </c>
      <c r="N7">
        <v>100</v>
      </c>
      <c r="O7" s="1">
        <f>ROUND(SUM(Worksheet[[#This Row],[Agriculture - Total Number of Completed Works]],Worksheet[[#This Row],[Addressing Unemployment -Total Number of Completed Works]],Worksheet[[#This Row],[Physical and Social Infrastructure - Total Number of Completed Works]],Worksheet[[#This Row],[Others - Total Number of Completed Works]])/SUM(Worksheet[[#This Row],[Agriculture - Total Number of Works]],Worksheet[[#This Row],[Addressing Unemployment -Total Number of Works]],Worksheet[[#This Row],[Physical and Social Infrastructure - Total Number of Works]],Worksheet[[#This Row],[Others - Total Number of Works]])*100,2)</f>
        <v>56.87</v>
      </c>
      <c r="P7">
        <v>4100.97</v>
      </c>
      <c r="Q7">
        <v>4100.97</v>
      </c>
      <c r="R7" s="1">
        <f>Worksheet[[#This Row],[Expenditure (Rs. in Lakhs)]]/Worksheet[[#This Row],[Sanctioned Amount (Rs. in lakhs)]]*100</f>
        <v>100</v>
      </c>
      <c r="S7">
        <v>461</v>
      </c>
      <c r="T7">
        <v>448</v>
      </c>
      <c r="U7" s="1">
        <f>Worksheet[[#This Row],[Total Number of Completed Works]]/Worksheet[[#This Row],[Total Number of Works]]*100</f>
        <v>97.180043383947933</v>
      </c>
    </row>
    <row r="8" spans="1:21" x14ac:dyDescent="0.3">
      <c r="A8" t="s">
        <v>147</v>
      </c>
      <c r="B8" t="s">
        <v>116</v>
      </c>
      <c r="C8">
        <v>0</v>
      </c>
      <c r="D8">
        <v>0</v>
      </c>
      <c r="E8">
        <v>0</v>
      </c>
      <c r="F8">
        <v>2007</v>
      </c>
      <c r="G8">
        <v>2007</v>
      </c>
      <c r="H8">
        <v>100</v>
      </c>
      <c r="I8">
        <v>223</v>
      </c>
      <c r="J8">
        <v>223</v>
      </c>
      <c r="K8">
        <v>100</v>
      </c>
      <c r="L8">
        <v>0</v>
      </c>
      <c r="M8">
        <v>0</v>
      </c>
      <c r="N8">
        <v>0</v>
      </c>
      <c r="O8" s="1">
        <f>ROUND(SUM(Worksheet[[#This Row],[Agriculture - Total Number of Completed Works]],Worksheet[[#This Row],[Addressing Unemployment -Total Number of Completed Works]],Worksheet[[#This Row],[Physical and Social Infrastructure - Total Number of Completed Works]],Worksheet[[#This Row],[Others - Total Number of Completed Works]])/SUM(Worksheet[[#This Row],[Agriculture - Total Number of Works]],Worksheet[[#This Row],[Addressing Unemployment -Total Number of Works]],Worksheet[[#This Row],[Physical and Social Infrastructure - Total Number of Works]],Worksheet[[#This Row],[Others - Total Number of Works]])*100,2)</f>
        <v>100</v>
      </c>
      <c r="P8">
        <v>4496.08</v>
      </c>
      <c r="Q8">
        <v>4496.08</v>
      </c>
      <c r="R8" s="1">
        <f>Worksheet[[#This Row],[Expenditure (Rs. in Lakhs)]]/Worksheet[[#This Row],[Sanctioned Amount (Rs. in lakhs)]]*100</f>
        <v>100</v>
      </c>
      <c r="S8">
        <v>2230</v>
      </c>
      <c r="T8">
        <v>2230</v>
      </c>
      <c r="U8" s="1">
        <f>Worksheet[[#This Row],[Total Number of Completed Works]]/Worksheet[[#This Row],[Total Number of Works]]*100</f>
        <v>100</v>
      </c>
    </row>
    <row r="9" spans="1:21" x14ac:dyDescent="0.3">
      <c r="A9" t="s">
        <v>87</v>
      </c>
      <c r="B9" t="s">
        <v>148</v>
      </c>
      <c r="C9">
        <v>2009</v>
      </c>
      <c r="D9">
        <v>1956</v>
      </c>
      <c r="E9">
        <v>97.4</v>
      </c>
      <c r="F9">
        <v>301</v>
      </c>
      <c r="G9">
        <v>301</v>
      </c>
      <c r="H9">
        <v>100</v>
      </c>
      <c r="I9">
        <v>978</v>
      </c>
      <c r="J9">
        <v>952</v>
      </c>
      <c r="K9">
        <v>97.3</v>
      </c>
      <c r="L9">
        <v>14</v>
      </c>
      <c r="M9">
        <v>13</v>
      </c>
      <c r="N9">
        <v>92.9</v>
      </c>
      <c r="O9" s="1">
        <f>ROUND(SUM(Worksheet[[#This Row],[Agriculture - Total Number of Completed Works]],Worksheet[[#This Row],[Addressing Unemployment -Total Number of Completed Works]],Worksheet[[#This Row],[Physical and Social Infrastructure - Total Number of Completed Works]],Worksheet[[#This Row],[Others - Total Number of Completed Works]])/SUM(Worksheet[[#This Row],[Agriculture - Total Number of Works]],Worksheet[[#This Row],[Addressing Unemployment -Total Number of Works]],Worksheet[[#This Row],[Physical and Social Infrastructure - Total Number of Works]],Worksheet[[#This Row],[Others - Total Number of Works]])*100,2)</f>
        <v>97.58</v>
      </c>
      <c r="P9">
        <v>4499.9799999999996</v>
      </c>
      <c r="Q9">
        <v>4335</v>
      </c>
      <c r="R9" s="1">
        <f>Worksheet[[#This Row],[Expenditure (Rs. in Lakhs)]]/Worksheet[[#This Row],[Sanctioned Amount (Rs. in lakhs)]]*100</f>
        <v>96.333761483384379</v>
      </c>
      <c r="S9">
        <v>3288</v>
      </c>
      <c r="T9">
        <v>3209</v>
      </c>
      <c r="U9" s="1">
        <f>Worksheet[[#This Row],[Total Number of Completed Works]]/Worksheet[[#This Row],[Total Number of Works]]*100</f>
        <v>97.59732360097324</v>
      </c>
    </row>
    <row r="10" spans="1:21" x14ac:dyDescent="0.3">
      <c r="A10" t="s">
        <v>149</v>
      </c>
      <c r="B10" t="s">
        <v>148</v>
      </c>
      <c r="C10">
        <v>252</v>
      </c>
      <c r="D10">
        <v>251</v>
      </c>
      <c r="E10">
        <v>99.6</v>
      </c>
      <c r="F10">
        <v>26</v>
      </c>
      <c r="G10">
        <v>24</v>
      </c>
      <c r="H10">
        <v>92.3</v>
      </c>
      <c r="I10">
        <v>648</v>
      </c>
      <c r="J10">
        <v>616</v>
      </c>
      <c r="K10">
        <v>95.1</v>
      </c>
      <c r="L10">
        <v>11</v>
      </c>
      <c r="M10">
        <v>9</v>
      </c>
      <c r="N10">
        <v>81.8</v>
      </c>
      <c r="O10" s="1">
        <f>ROUND(SUM(Worksheet[[#This Row],[Agriculture - Total Number of Completed Works]],Worksheet[[#This Row],[Addressing Unemployment -Total Number of Completed Works]],Worksheet[[#This Row],[Physical and Social Infrastructure - Total Number of Completed Works]],Worksheet[[#This Row],[Others - Total Number of Completed Works]])/SUM(Worksheet[[#This Row],[Agriculture - Total Number of Works]],Worksheet[[#This Row],[Addressing Unemployment -Total Number of Works]],Worksheet[[#This Row],[Physical and Social Infrastructure - Total Number of Works]],Worksheet[[#This Row],[Others - Total Number of Works]])*100,2)</f>
        <v>96.05</v>
      </c>
      <c r="P10">
        <v>4496.38</v>
      </c>
      <c r="Q10">
        <v>4063</v>
      </c>
      <c r="R10" s="1">
        <f>Worksheet[[#This Row],[Expenditure (Rs. in Lakhs)]]/Worksheet[[#This Row],[Sanctioned Amount (Rs. in lakhs)]]*100</f>
        <v>90.361579759717813</v>
      </c>
      <c r="S10">
        <v>926</v>
      </c>
      <c r="T10">
        <v>891</v>
      </c>
      <c r="U10" s="1">
        <f>Worksheet[[#This Row],[Total Number of Completed Works]]/Worksheet[[#This Row],[Total Number of Works]]*100</f>
        <v>96.220302375809936</v>
      </c>
    </row>
    <row r="11" spans="1:21" x14ac:dyDescent="0.3">
      <c r="A11" t="s">
        <v>150</v>
      </c>
      <c r="B11" t="s">
        <v>151</v>
      </c>
      <c r="C11">
        <v>2831</v>
      </c>
      <c r="D11">
        <v>2807</v>
      </c>
      <c r="E11">
        <v>99.2</v>
      </c>
      <c r="F11">
        <v>64</v>
      </c>
      <c r="G11">
        <v>64</v>
      </c>
      <c r="H11">
        <v>100</v>
      </c>
      <c r="I11">
        <v>67</v>
      </c>
      <c r="J11">
        <v>67</v>
      </c>
      <c r="K11">
        <v>100</v>
      </c>
      <c r="L11">
        <v>0</v>
      </c>
      <c r="M11">
        <v>0</v>
      </c>
      <c r="N11">
        <v>0</v>
      </c>
      <c r="O11" s="1">
        <f>ROUND(SUM(Worksheet[[#This Row],[Agriculture - Total Number of Completed Works]],Worksheet[[#This Row],[Addressing Unemployment -Total Number of Completed Works]],Worksheet[[#This Row],[Physical and Social Infrastructure - Total Number of Completed Works]],Worksheet[[#This Row],[Others - Total Number of Completed Works]])/SUM(Worksheet[[#This Row],[Agriculture - Total Number of Works]],Worksheet[[#This Row],[Addressing Unemployment -Total Number of Works]],Worksheet[[#This Row],[Physical and Social Infrastructure - Total Number of Works]],Worksheet[[#This Row],[Others - Total Number of Works]])*100,2)</f>
        <v>99.19</v>
      </c>
      <c r="P11">
        <v>4287.18</v>
      </c>
      <c r="Q11">
        <v>3829.17</v>
      </c>
      <c r="R11" s="1">
        <f>Worksheet[[#This Row],[Expenditure (Rs. in Lakhs)]]/Worksheet[[#This Row],[Sanctioned Amount (Rs. in lakhs)]]*100</f>
        <v>89.316753670244779</v>
      </c>
      <c r="S11">
        <v>2962</v>
      </c>
      <c r="T11">
        <v>2938</v>
      </c>
      <c r="U11" s="1">
        <f>Worksheet[[#This Row],[Total Number of Completed Works]]/Worksheet[[#This Row],[Total Number of Works]]*100</f>
        <v>99.189736664415946</v>
      </c>
    </row>
    <row r="12" spans="1:21" x14ac:dyDescent="0.3">
      <c r="A12" t="s">
        <v>79</v>
      </c>
      <c r="B12" t="s">
        <v>80</v>
      </c>
      <c r="C12">
        <v>37</v>
      </c>
      <c r="D12">
        <v>32</v>
      </c>
      <c r="E12">
        <v>86.5</v>
      </c>
      <c r="F12">
        <v>21</v>
      </c>
      <c r="G12">
        <v>18</v>
      </c>
      <c r="H12">
        <v>85.7</v>
      </c>
      <c r="I12">
        <v>105</v>
      </c>
      <c r="J12">
        <v>86</v>
      </c>
      <c r="K12">
        <v>81.900000000000006</v>
      </c>
      <c r="L12">
        <v>9</v>
      </c>
      <c r="M12">
        <v>9</v>
      </c>
      <c r="N12">
        <v>100</v>
      </c>
      <c r="O12" s="1">
        <f>ROUND(SUM(Worksheet[[#This Row],[Agriculture - Total Number of Completed Works]],Worksheet[[#This Row],[Addressing Unemployment -Total Number of Completed Works]],Worksheet[[#This Row],[Physical and Social Infrastructure - Total Number of Completed Works]],Worksheet[[#This Row],[Others - Total Number of Completed Works]])/SUM(Worksheet[[#This Row],[Agriculture - Total Number of Works]],Worksheet[[#This Row],[Addressing Unemployment -Total Number of Works]],Worksheet[[#This Row],[Physical and Social Infrastructure - Total Number of Works]],Worksheet[[#This Row],[Others - Total Number of Works]])*100,2)</f>
        <v>84.3</v>
      </c>
      <c r="P12">
        <v>4428.01</v>
      </c>
      <c r="Q12">
        <v>4014.78</v>
      </c>
      <c r="R12" s="1">
        <f>Worksheet[[#This Row],[Expenditure (Rs. in Lakhs)]]/Worksheet[[#This Row],[Sanctioned Amount (Rs. in lakhs)]]*100</f>
        <v>90.66781692001598</v>
      </c>
      <c r="S12">
        <v>163</v>
      </c>
      <c r="T12">
        <v>136</v>
      </c>
      <c r="U12" s="1">
        <f>Worksheet[[#This Row],[Total Number of Completed Works]]/Worksheet[[#This Row],[Total Number of Works]]*100</f>
        <v>83.435582822085891</v>
      </c>
    </row>
    <row r="13" spans="1:21" x14ac:dyDescent="0.3">
      <c r="A13" t="s">
        <v>25</v>
      </c>
      <c r="B13" t="s">
        <v>152</v>
      </c>
      <c r="C13">
        <v>768</v>
      </c>
      <c r="D13">
        <v>653</v>
      </c>
      <c r="E13">
        <v>85</v>
      </c>
      <c r="F13">
        <v>394</v>
      </c>
      <c r="G13">
        <v>388</v>
      </c>
      <c r="H13">
        <v>98.5</v>
      </c>
      <c r="I13">
        <v>538</v>
      </c>
      <c r="J13">
        <v>525</v>
      </c>
      <c r="K13">
        <v>97.6</v>
      </c>
      <c r="L13">
        <v>10</v>
      </c>
      <c r="M13">
        <v>9</v>
      </c>
      <c r="N13">
        <v>90</v>
      </c>
      <c r="O13" s="1">
        <f>ROUND(SUM(Worksheet[[#This Row],[Agriculture - Total Number of Completed Works]],Worksheet[[#This Row],[Addressing Unemployment -Total Number of Completed Works]],Worksheet[[#This Row],[Physical and Social Infrastructure - Total Number of Completed Works]],Worksheet[[#This Row],[Others - Total Number of Completed Works]])/SUM(Worksheet[[#This Row],[Agriculture - Total Number of Works]],Worksheet[[#This Row],[Addressing Unemployment -Total Number of Works]],Worksheet[[#This Row],[Physical and Social Infrastructure - Total Number of Works]],Worksheet[[#This Row],[Others - Total Number of Works]])*100,2)</f>
        <v>92.11</v>
      </c>
      <c r="P13">
        <v>4378.22</v>
      </c>
      <c r="Q13">
        <v>4378.22</v>
      </c>
      <c r="R13" s="1">
        <f>Worksheet[[#This Row],[Expenditure (Rs. in Lakhs)]]/Worksheet[[#This Row],[Sanctioned Amount (Rs. in lakhs)]]*100</f>
        <v>100</v>
      </c>
      <c r="S13">
        <v>1700</v>
      </c>
      <c r="T13">
        <v>1566</v>
      </c>
      <c r="U13" s="1">
        <f>Worksheet[[#This Row],[Total Number of Completed Works]]/Worksheet[[#This Row],[Total Number of Works]]*100</f>
        <v>92.117647058823522</v>
      </c>
    </row>
    <row r="14" spans="1:21" x14ac:dyDescent="0.3">
      <c r="A14" t="s">
        <v>91</v>
      </c>
      <c r="B14" t="s">
        <v>153</v>
      </c>
      <c r="C14">
        <v>148</v>
      </c>
      <c r="D14">
        <v>93</v>
      </c>
      <c r="E14">
        <v>62.8</v>
      </c>
      <c r="F14">
        <v>38</v>
      </c>
      <c r="G14">
        <v>16</v>
      </c>
      <c r="H14">
        <v>42.1</v>
      </c>
      <c r="I14">
        <v>612</v>
      </c>
      <c r="J14">
        <v>405</v>
      </c>
      <c r="K14">
        <v>66.2</v>
      </c>
      <c r="L14">
        <v>5</v>
      </c>
      <c r="M14">
        <v>2</v>
      </c>
      <c r="N14">
        <v>40</v>
      </c>
      <c r="O14" s="1">
        <f>ROUND(SUM(Worksheet[[#This Row],[Agriculture - Total Number of Completed Works]],Worksheet[[#This Row],[Addressing Unemployment -Total Number of Completed Works]],Worksheet[[#This Row],[Physical and Social Infrastructure - Total Number of Completed Works]],Worksheet[[#This Row],[Others - Total Number of Completed Works]])/SUM(Worksheet[[#This Row],[Agriculture - Total Number of Works]],Worksheet[[#This Row],[Addressing Unemployment -Total Number of Works]],Worksheet[[#This Row],[Physical and Social Infrastructure - Total Number of Works]],Worksheet[[#This Row],[Others - Total Number of Works]])*100,2)</f>
        <v>64.260000000000005</v>
      </c>
      <c r="P14">
        <v>4497.6000000000004</v>
      </c>
      <c r="Q14">
        <v>4244.79</v>
      </c>
      <c r="R14" s="1">
        <f>Worksheet[[#This Row],[Expenditure (Rs. in Lakhs)]]/Worksheet[[#This Row],[Sanctioned Amount (Rs. in lakhs)]]*100</f>
        <v>94.379002134471719</v>
      </c>
      <c r="S14">
        <v>798</v>
      </c>
      <c r="T14">
        <v>658</v>
      </c>
      <c r="U14" s="1">
        <f>Worksheet[[#This Row],[Total Number of Completed Works]]/Worksheet[[#This Row],[Total Number of Works]]*100</f>
        <v>82.456140350877192</v>
      </c>
    </row>
    <row r="15" spans="1:21" x14ac:dyDescent="0.3">
      <c r="A15" t="s">
        <v>11</v>
      </c>
      <c r="B15" t="s">
        <v>12</v>
      </c>
      <c r="C15">
        <v>599</v>
      </c>
      <c r="D15">
        <v>599</v>
      </c>
      <c r="E15">
        <v>100</v>
      </c>
      <c r="F15">
        <v>37</v>
      </c>
      <c r="G15">
        <v>37</v>
      </c>
      <c r="H15">
        <v>100</v>
      </c>
      <c r="I15">
        <v>1030</v>
      </c>
      <c r="J15">
        <v>997</v>
      </c>
      <c r="K15">
        <v>96.8</v>
      </c>
      <c r="L15">
        <v>4</v>
      </c>
      <c r="M15">
        <v>4</v>
      </c>
      <c r="N15">
        <v>100</v>
      </c>
      <c r="O15" s="1">
        <f>ROUND(SUM(Worksheet[[#This Row],[Agriculture - Total Number of Completed Works]],Worksheet[[#This Row],[Addressing Unemployment -Total Number of Completed Works]],Worksheet[[#This Row],[Physical and Social Infrastructure - Total Number of Completed Works]],Worksheet[[#This Row],[Others - Total Number of Completed Works]])/SUM(Worksheet[[#This Row],[Agriculture - Total Number of Works]],Worksheet[[#This Row],[Addressing Unemployment -Total Number of Works]],Worksheet[[#This Row],[Physical and Social Infrastructure - Total Number of Works]],Worksheet[[#This Row],[Others - Total Number of Works]])*100,2)</f>
        <v>98.02</v>
      </c>
      <c r="P15">
        <v>4500</v>
      </c>
      <c r="Q15">
        <v>4428.51</v>
      </c>
      <c r="R15" s="1">
        <f>Worksheet[[#This Row],[Expenditure (Rs. in Lakhs)]]/Worksheet[[#This Row],[Sanctioned Amount (Rs. in lakhs)]]*100</f>
        <v>98.411333333333346</v>
      </c>
      <c r="S15">
        <v>1666</v>
      </c>
      <c r="T15">
        <v>1633</v>
      </c>
      <c r="U15" s="1">
        <f>Worksheet[[#This Row],[Total Number of Completed Works]]/Worksheet[[#This Row],[Total Number of Works]]*100</f>
        <v>98.019207683073233</v>
      </c>
    </row>
    <row r="16" spans="1:21" x14ac:dyDescent="0.3">
      <c r="A16" t="s">
        <v>111</v>
      </c>
      <c r="B16" t="s">
        <v>112</v>
      </c>
      <c r="C16">
        <v>15752</v>
      </c>
      <c r="D16">
        <v>15752</v>
      </c>
      <c r="E16">
        <v>100</v>
      </c>
      <c r="F16">
        <v>4429</v>
      </c>
      <c r="G16">
        <v>4429</v>
      </c>
      <c r="H16">
        <v>100</v>
      </c>
      <c r="I16">
        <v>141</v>
      </c>
      <c r="J16">
        <v>141</v>
      </c>
      <c r="K16">
        <v>100</v>
      </c>
      <c r="L16">
        <v>0</v>
      </c>
      <c r="M16">
        <v>0</v>
      </c>
      <c r="N16">
        <v>0</v>
      </c>
      <c r="O16" s="1">
        <f>ROUND(SUM(Worksheet[[#This Row],[Agriculture - Total Number of Completed Works]],Worksheet[[#This Row],[Addressing Unemployment -Total Number of Completed Works]],Worksheet[[#This Row],[Physical and Social Infrastructure - Total Number of Completed Works]],Worksheet[[#This Row],[Others - Total Number of Completed Works]])/SUM(Worksheet[[#This Row],[Agriculture - Total Number of Works]],Worksheet[[#This Row],[Addressing Unemployment -Total Number of Works]],Worksheet[[#This Row],[Physical and Social Infrastructure - Total Number of Works]],Worksheet[[#This Row],[Others - Total Number of Works]])*100,2)</f>
        <v>100</v>
      </c>
      <c r="P16">
        <v>4500</v>
      </c>
      <c r="Q16">
        <v>4056.25</v>
      </c>
      <c r="R16" s="1">
        <f>Worksheet[[#This Row],[Expenditure (Rs. in Lakhs)]]/Worksheet[[#This Row],[Sanctioned Amount (Rs. in lakhs)]]*100</f>
        <v>90.138888888888886</v>
      </c>
      <c r="S16">
        <v>20322</v>
      </c>
      <c r="T16">
        <v>20322</v>
      </c>
      <c r="U16" s="1">
        <f>Worksheet[[#This Row],[Total Number of Completed Works]]/Worksheet[[#This Row],[Total Number of Works]]*100</f>
        <v>100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ED67A2-CAC7-4256-9FD8-D0DBFC87ADC3}">
  <sheetPr codeName="Sheet2"/>
  <dimension ref="A1:I207"/>
  <sheetViews>
    <sheetView tabSelected="1" topLeftCell="A4" workbookViewId="0">
      <selection activeCell="B11" sqref="B11"/>
    </sheetView>
  </sheetViews>
  <sheetFormatPr defaultRowHeight="14.4" x14ac:dyDescent="0.3"/>
  <cols>
    <col min="1" max="1" width="37" bestFit="1" customWidth="1"/>
    <col min="2" max="2" width="45" bestFit="1" customWidth="1"/>
    <col min="3" max="3" width="20.33203125" bestFit="1" customWidth="1"/>
    <col min="4" max="4" width="30" bestFit="1" customWidth="1"/>
    <col min="5" max="5" width="32.109375" bestFit="1" customWidth="1"/>
    <col min="6" max="6" width="21.5546875" style="3" bestFit="1" customWidth="1"/>
    <col min="7" max="7" width="12.21875" bestFit="1" customWidth="1"/>
    <col min="8" max="8" width="16.5546875" bestFit="1" customWidth="1"/>
    <col min="9" max="9" width="18.44140625" customWidth="1"/>
  </cols>
  <sheetData>
    <row r="1" spans="1:9" x14ac:dyDescent="0.3">
      <c r="A1" t="s">
        <v>0</v>
      </c>
      <c r="B1" t="s">
        <v>1</v>
      </c>
      <c r="C1" t="s">
        <v>2</v>
      </c>
      <c r="D1" t="s">
        <v>3</v>
      </c>
      <c r="E1" t="s">
        <v>4</v>
      </c>
      <c r="F1" s="3" t="s">
        <v>5</v>
      </c>
      <c r="G1" t="s">
        <v>6</v>
      </c>
      <c r="H1" t="s">
        <v>7</v>
      </c>
      <c r="I1" t="s">
        <v>8</v>
      </c>
    </row>
    <row r="2" spans="1:9" x14ac:dyDescent="0.3">
      <c r="A2" t="s">
        <v>9</v>
      </c>
      <c r="B2" t="s">
        <v>10</v>
      </c>
      <c r="C2">
        <v>118</v>
      </c>
      <c r="D2">
        <v>118</v>
      </c>
      <c r="E2">
        <v>0</v>
      </c>
      <c r="F2" s="3">
        <v>100</v>
      </c>
      <c r="G2" t="s">
        <v>11</v>
      </c>
      <c r="H2" t="s">
        <v>12</v>
      </c>
      <c r="I2" t="s">
        <v>13</v>
      </c>
    </row>
    <row r="3" spans="1:9" x14ac:dyDescent="0.3">
      <c r="A3" t="s">
        <v>9</v>
      </c>
      <c r="B3" t="s">
        <v>14</v>
      </c>
      <c r="C3">
        <v>481</v>
      </c>
      <c r="D3">
        <v>481</v>
      </c>
      <c r="E3">
        <v>0</v>
      </c>
      <c r="F3" s="3">
        <v>100</v>
      </c>
      <c r="G3" t="s">
        <v>11</v>
      </c>
      <c r="H3" t="s">
        <v>12</v>
      </c>
      <c r="I3" t="s">
        <v>13</v>
      </c>
    </row>
    <row r="4" spans="1:9" x14ac:dyDescent="0.3">
      <c r="A4" t="s">
        <v>9</v>
      </c>
      <c r="B4" t="s">
        <v>15</v>
      </c>
      <c r="C4">
        <v>599</v>
      </c>
      <c r="D4">
        <v>599</v>
      </c>
      <c r="E4">
        <v>0</v>
      </c>
      <c r="F4" s="3">
        <v>100</v>
      </c>
      <c r="G4" t="s">
        <v>11</v>
      </c>
      <c r="H4" t="s">
        <v>12</v>
      </c>
      <c r="I4" t="s">
        <v>13</v>
      </c>
    </row>
    <row r="5" spans="1:9" x14ac:dyDescent="0.3">
      <c r="A5" t="s">
        <v>16</v>
      </c>
      <c r="B5" t="s">
        <v>17</v>
      </c>
      <c r="C5">
        <v>5</v>
      </c>
      <c r="D5">
        <v>5</v>
      </c>
      <c r="E5">
        <v>0</v>
      </c>
      <c r="F5" s="3">
        <v>100</v>
      </c>
      <c r="G5" t="s">
        <v>11</v>
      </c>
      <c r="H5" t="s">
        <v>12</v>
      </c>
      <c r="I5" t="s">
        <v>13</v>
      </c>
    </row>
    <row r="6" spans="1:9" x14ac:dyDescent="0.3">
      <c r="A6" t="s">
        <v>16</v>
      </c>
      <c r="B6" t="s">
        <v>18</v>
      </c>
      <c r="C6">
        <v>32</v>
      </c>
      <c r="D6">
        <v>32</v>
      </c>
      <c r="E6">
        <v>0</v>
      </c>
      <c r="F6" s="3">
        <v>100</v>
      </c>
      <c r="G6" t="s">
        <v>11</v>
      </c>
      <c r="H6" t="s">
        <v>12</v>
      </c>
      <c r="I6" t="s">
        <v>13</v>
      </c>
    </row>
    <row r="7" spans="1:9" x14ac:dyDescent="0.3">
      <c r="A7" t="s">
        <v>16</v>
      </c>
      <c r="B7" t="s">
        <v>19</v>
      </c>
      <c r="C7">
        <v>37</v>
      </c>
      <c r="D7">
        <v>37</v>
      </c>
      <c r="E7">
        <v>0</v>
      </c>
      <c r="F7" s="3">
        <v>100</v>
      </c>
      <c r="G7" t="s">
        <v>11</v>
      </c>
      <c r="H7" t="s">
        <v>12</v>
      </c>
      <c r="I7" t="s">
        <v>13</v>
      </c>
    </row>
    <row r="8" spans="1:9" x14ac:dyDescent="0.3">
      <c r="A8" t="s">
        <v>20</v>
      </c>
      <c r="B8" t="s">
        <v>21</v>
      </c>
      <c r="C8">
        <v>468</v>
      </c>
      <c r="D8">
        <v>468</v>
      </c>
      <c r="E8">
        <v>0</v>
      </c>
      <c r="F8" s="3">
        <v>100</v>
      </c>
      <c r="G8" t="s">
        <v>11</v>
      </c>
      <c r="H8" t="s">
        <v>12</v>
      </c>
      <c r="I8" t="s">
        <v>13</v>
      </c>
    </row>
    <row r="9" spans="1:9" x14ac:dyDescent="0.3">
      <c r="A9" t="s">
        <v>20</v>
      </c>
      <c r="B9" t="s">
        <v>22</v>
      </c>
      <c r="C9">
        <v>379</v>
      </c>
      <c r="D9">
        <v>360</v>
      </c>
      <c r="E9">
        <v>19</v>
      </c>
      <c r="F9" s="3">
        <v>94.99</v>
      </c>
      <c r="G9" t="s">
        <v>11</v>
      </c>
      <c r="H9" t="s">
        <v>12</v>
      </c>
      <c r="I9" t="s">
        <v>13</v>
      </c>
    </row>
    <row r="10" spans="1:9" x14ac:dyDescent="0.3">
      <c r="A10" t="s">
        <v>20</v>
      </c>
      <c r="B10" t="s">
        <v>23</v>
      </c>
      <c r="C10">
        <v>183</v>
      </c>
      <c r="D10">
        <v>169</v>
      </c>
      <c r="E10">
        <v>14</v>
      </c>
      <c r="F10" s="3">
        <v>92.35</v>
      </c>
      <c r="G10" t="s">
        <v>11</v>
      </c>
      <c r="H10" t="s">
        <v>12</v>
      </c>
      <c r="I10" t="s">
        <v>13</v>
      </c>
    </row>
    <row r="11" spans="1:9" x14ac:dyDescent="0.3">
      <c r="A11" t="s">
        <v>20</v>
      </c>
      <c r="B11" t="s">
        <v>35</v>
      </c>
      <c r="C11">
        <v>1030</v>
      </c>
      <c r="D11">
        <v>997</v>
      </c>
      <c r="E11">
        <v>33</v>
      </c>
      <c r="F11" s="3">
        <v>96.8</v>
      </c>
      <c r="G11" t="s">
        <v>11</v>
      </c>
      <c r="H11" t="s">
        <v>12</v>
      </c>
      <c r="I11" t="s">
        <v>13</v>
      </c>
    </row>
    <row r="12" spans="1:9" x14ac:dyDescent="0.3">
      <c r="A12" t="s">
        <v>24</v>
      </c>
      <c r="B12" t="s">
        <v>37</v>
      </c>
      <c r="C12">
        <v>4</v>
      </c>
      <c r="D12">
        <v>4</v>
      </c>
      <c r="E12">
        <v>0</v>
      </c>
      <c r="F12" s="3">
        <v>100</v>
      </c>
      <c r="G12" t="s">
        <v>11</v>
      </c>
      <c r="H12" t="s">
        <v>12</v>
      </c>
      <c r="I12" t="s">
        <v>13</v>
      </c>
    </row>
    <row r="13" spans="1:9" x14ac:dyDescent="0.3">
      <c r="A13" t="s">
        <v>9</v>
      </c>
      <c r="B13" t="s">
        <v>10</v>
      </c>
      <c r="C13">
        <v>767</v>
      </c>
      <c r="D13">
        <v>652</v>
      </c>
      <c r="E13">
        <v>115</v>
      </c>
      <c r="F13" s="3">
        <v>85.01</v>
      </c>
      <c r="G13" t="s">
        <v>25</v>
      </c>
      <c r="H13" t="s">
        <v>26</v>
      </c>
      <c r="I13" t="s">
        <v>13</v>
      </c>
    </row>
    <row r="14" spans="1:9" x14ac:dyDescent="0.3">
      <c r="A14" t="s">
        <v>9</v>
      </c>
      <c r="B14" t="s">
        <v>27</v>
      </c>
      <c r="C14">
        <v>1</v>
      </c>
      <c r="D14">
        <v>1</v>
      </c>
      <c r="E14">
        <v>0</v>
      </c>
      <c r="F14" s="3">
        <v>100</v>
      </c>
      <c r="G14" t="s">
        <v>25</v>
      </c>
      <c r="H14" t="s">
        <v>26</v>
      </c>
      <c r="I14" t="s">
        <v>13</v>
      </c>
    </row>
    <row r="15" spans="1:9" x14ac:dyDescent="0.3">
      <c r="A15" t="s">
        <v>9</v>
      </c>
      <c r="B15" t="s">
        <v>35</v>
      </c>
      <c r="C15">
        <v>768</v>
      </c>
      <c r="D15">
        <v>653</v>
      </c>
      <c r="E15">
        <v>115</v>
      </c>
      <c r="F15" s="3">
        <v>85.03</v>
      </c>
      <c r="G15" t="s">
        <v>25</v>
      </c>
      <c r="H15" t="s">
        <v>26</v>
      </c>
      <c r="I15" t="s">
        <v>13</v>
      </c>
    </row>
    <row r="16" spans="1:9" x14ac:dyDescent="0.3">
      <c r="A16" t="s">
        <v>16</v>
      </c>
      <c r="B16" t="s">
        <v>28</v>
      </c>
      <c r="C16">
        <v>237</v>
      </c>
      <c r="D16">
        <v>235</v>
      </c>
      <c r="E16">
        <v>2</v>
      </c>
      <c r="F16" s="3">
        <v>99.16</v>
      </c>
      <c r="G16" t="s">
        <v>25</v>
      </c>
      <c r="H16" t="s">
        <v>26</v>
      </c>
      <c r="I16" t="s">
        <v>13</v>
      </c>
    </row>
    <row r="17" spans="1:9" x14ac:dyDescent="0.3">
      <c r="A17" t="s">
        <v>16</v>
      </c>
      <c r="B17" t="s">
        <v>29</v>
      </c>
      <c r="C17">
        <v>18</v>
      </c>
      <c r="D17">
        <v>17</v>
      </c>
      <c r="E17">
        <v>1</v>
      </c>
      <c r="F17" s="3">
        <v>94.44</v>
      </c>
      <c r="G17" t="s">
        <v>25</v>
      </c>
      <c r="H17" t="s">
        <v>26</v>
      </c>
      <c r="I17" t="s">
        <v>13</v>
      </c>
    </row>
    <row r="18" spans="1:9" x14ac:dyDescent="0.3">
      <c r="A18" t="s">
        <v>16</v>
      </c>
      <c r="B18" t="s">
        <v>30</v>
      </c>
      <c r="C18">
        <v>139</v>
      </c>
      <c r="D18">
        <v>136</v>
      </c>
      <c r="E18">
        <v>3</v>
      </c>
      <c r="F18" s="3">
        <v>97.84</v>
      </c>
      <c r="G18" t="s">
        <v>25</v>
      </c>
      <c r="H18" t="s">
        <v>26</v>
      </c>
      <c r="I18" t="s">
        <v>13</v>
      </c>
    </row>
    <row r="19" spans="1:9" x14ac:dyDescent="0.3">
      <c r="A19" t="s">
        <v>16</v>
      </c>
      <c r="B19" t="s">
        <v>19</v>
      </c>
      <c r="C19">
        <v>394</v>
      </c>
      <c r="D19">
        <v>388</v>
      </c>
      <c r="E19">
        <v>6</v>
      </c>
      <c r="F19" s="3">
        <v>98.48</v>
      </c>
      <c r="G19" t="s">
        <v>25</v>
      </c>
      <c r="H19" t="s">
        <v>26</v>
      </c>
      <c r="I19" t="s">
        <v>13</v>
      </c>
    </row>
    <row r="20" spans="1:9" x14ac:dyDescent="0.3">
      <c r="A20" t="s">
        <v>20</v>
      </c>
      <c r="B20" t="s">
        <v>31</v>
      </c>
      <c r="C20">
        <v>155</v>
      </c>
      <c r="D20">
        <v>152</v>
      </c>
      <c r="E20">
        <v>3</v>
      </c>
      <c r="F20" s="3">
        <v>98.06</v>
      </c>
      <c r="G20" t="s">
        <v>25</v>
      </c>
      <c r="H20" t="s">
        <v>26</v>
      </c>
      <c r="I20" t="s">
        <v>13</v>
      </c>
    </row>
    <row r="21" spans="1:9" x14ac:dyDescent="0.3">
      <c r="A21" t="s">
        <v>20</v>
      </c>
      <c r="B21" t="s">
        <v>32</v>
      </c>
      <c r="C21">
        <v>60</v>
      </c>
      <c r="D21">
        <v>58</v>
      </c>
      <c r="E21">
        <v>2</v>
      </c>
      <c r="F21" s="3">
        <v>96.67</v>
      </c>
      <c r="G21" t="s">
        <v>25</v>
      </c>
      <c r="H21" t="s">
        <v>26</v>
      </c>
      <c r="I21" t="s">
        <v>13</v>
      </c>
    </row>
    <row r="22" spans="1:9" x14ac:dyDescent="0.3">
      <c r="A22" t="s">
        <v>20</v>
      </c>
      <c r="B22" t="s">
        <v>33</v>
      </c>
      <c r="C22">
        <v>298</v>
      </c>
      <c r="D22">
        <v>290</v>
      </c>
      <c r="E22">
        <v>8</v>
      </c>
      <c r="F22" s="3">
        <v>97.32</v>
      </c>
      <c r="G22" t="s">
        <v>25</v>
      </c>
      <c r="H22" t="s">
        <v>26</v>
      </c>
      <c r="I22" t="s">
        <v>13</v>
      </c>
    </row>
    <row r="23" spans="1:9" x14ac:dyDescent="0.3">
      <c r="A23" t="s">
        <v>20</v>
      </c>
      <c r="B23" t="s">
        <v>34</v>
      </c>
      <c r="C23">
        <v>25</v>
      </c>
      <c r="D23">
        <v>25</v>
      </c>
      <c r="E23">
        <v>0</v>
      </c>
      <c r="F23" s="3">
        <v>100</v>
      </c>
      <c r="G23" t="s">
        <v>25</v>
      </c>
      <c r="H23" t="s">
        <v>26</v>
      </c>
      <c r="I23" t="s">
        <v>13</v>
      </c>
    </row>
    <row r="24" spans="1:9" x14ac:dyDescent="0.3">
      <c r="A24" t="s">
        <v>20</v>
      </c>
      <c r="B24" t="s">
        <v>35</v>
      </c>
      <c r="C24">
        <v>538</v>
      </c>
      <c r="D24">
        <v>525</v>
      </c>
      <c r="E24">
        <v>13</v>
      </c>
      <c r="F24" s="3">
        <v>97.58</v>
      </c>
      <c r="G24" t="s">
        <v>25</v>
      </c>
      <c r="H24" t="s">
        <v>26</v>
      </c>
      <c r="I24" t="s">
        <v>13</v>
      </c>
    </row>
    <row r="25" spans="1:9" x14ac:dyDescent="0.3">
      <c r="A25" t="s">
        <v>24</v>
      </c>
      <c r="B25" t="s">
        <v>36</v>
      </c>
      <c r="C25">
        <v>10</v>
      </c>
      <c r="D25">
        <v>9</v>
      </c>
      <c r="E25">
        <v>1</v>
      </c>
      <c r="F25" s="3">
        <v>90</v>
      </c>
      <c r="G25" t="s">
        <v>25</v>
      </c>
      <c r="H25" t="s">
        <v>26</v>
      </c>
      <c r="I25" t="s">
        <v>13</v>
      </c>
    </row>
    <row r="26" spans="1:9" x14ac:dyDescent="0.3">
      <c r="A26" t="s">
        <v>24</v>
      </c>
      <c r="B26" t="s">
        <v>37</v>
      </c>
      <c r="C26">
        <v>10</v>
      </c>
      <c r="D26">
        <v>9</v>
      </c>
      <c r="E26">
        <v>1</v>
      </c>
      <c r="F26" s="3">
        <v>90</v>
      </c>
      <c r="G26" t="s">
        <v>25</v>
      </c>
      <c r="H26" t="s">
        <v>26</v>
      </c>
      <c r="I26" t="s">
        <v>13</v>
      </c>
    </row>
    <row r="27" spans="1:9" x14ac:dyDescent="0.3">
      <c r="A27" t="s">
        <v>9</v>
      </c>
      <c r="B27" t="s">
        <v>10</v>
      </c>
      <c r="C27">
        <v>328</v>
      </c>
      <c r="D27">
        <v>244</v>
      </c>
      <c r="E27">
        <v>84</v>
      </c>
      <c r="F27" s="3">
        <v>74.39</v>
      </c>
      <c r="G27" t="s">
        <v>38</v>
      </c>
      <c r="H27" t="s">
        <v>39</v>
      </c>
      <c r="I27" t="s">
        <v>40</v>
      </c>
    </row>
    <row r="28" spans="1:9" x14ac:dyDescent="0.3">
      <c r="A28" t="s">
        <v>9</v>
      </c>
      <c r="B28" t="s">
        <v>27</v>
      </c>
      <c r="C28">
        <v>1778</v>
      </c>
      <c r="D28">
        <v>1725</v>
      </c>
      <c r="E28">
        <v>53</v>
      </c>
      <c r="F28" s="3">
        <v>97.02</v>
      </c>
      <c r="G28" t="s">
        <v>38</v>
      </c>
      <c r="H28" t="s">
        <v>39</v>
      </c>
      <c r="I28" t="s">
        <v>40</v>
      </c>
    </row>
    <row r="29" spans="1:9" x14ac:dyDescent="0.3">
      <c r="A29" t="s">
        <v>9</v>
      </c>
      <c r="B29" t="s">
        <v>15</v>
      </c>
      <c r="C29">
        <v>2106</v>
      </c>
      <c r="D29">
        <v>1969</v>
      </c>
      <c r="E29">
        <v>137</v>
      </c>
      <c r="F29" s="3">
        <v>93.49</v>
      </c>
      <c r="G29" t="s">
        <v>38</v>
      </c>
      <c r="H29" t="s">
        <v>39</v>
      </c>
      <c r="I29" t="s">
        <v>40</v>
      </c>
    </row>
    <row r="30" spans="1:9" x14ac:dyDescent="0.3">
      <c r="A30" t="s">
        <v>16</v>
      </c>
      <c r="B30" t="s">
        <v>41</v>
      </c>
      <c r="C30">
        <v>1721</v>
      </c>
      <c r="D30">
        <v>1583</v>
      </c>
      <c r="E30">
        <v>138</v>
      </c>
      <c r="F30" s="3">
        <v>91.98</v>
      </c>
      <c r="G30" t="s">
        <v>38</v>
      </c>
      <c r="H30" t="s">
        <v>39</v>
      </c>
      <c r="I30" t="s">
        <v>40</v>
      </c>
    </row>
    <row r="31" spans="1:9" x14ac:dyDescent="0.3">
      <c r="A31" t="s">
        <v>16</v>
      </c>
      <c r="B31" t="s">
        <v>42</v>
      </c>
      <c r="C31">
        <v>19</v>
      </c>
      <c r="D31">
        <v>18</v>
      </c>
      <c r="E31">
        <v>1</v>
      </c>
      <c r="F31" s="3">
        <v>94.74</v>
      </c>
      <c r="G31" t="s">
        <v>38</v>
      </c>
      <c r="H31" t="s">
        <v>39</v>
      </c>
      <c r="I31" t="s">
        <v>40</v>
      </c>
    </row>
    <row r="32" spans="1:9" x14ac:dyDescent="0.3">
      <c r="A32" t="s">
        <v>16</v>
      </c>
      <c r="B32" t="s">
        <v>43</v>
      </c>
      <c r="C32">
        <v>818</v>
      </c>
      <c r="D32">
        <v>818</v>
      </c>
      <c r="E32">
        <v>0</v>
      </c>
      <c r="F32" s="3">
        <v>100</v>
      </c>
      <c r="G32" t="s">
        <v>38</v>
      </c>
      <c r="H32" t="s">
        <v>39</v>
      </c>
      <c r="I32" t="s">
        <v>40</v>
      </c>
    </row>
    <row r="33" spans="1:9" x14ac:dyDescent="0.3">
      <c r="A33" t="s">
        <v>16</v>
      </c>
      <c r="B33" t="s">
        <v>19</v>
      </c>
      <c r="C33">
        <v>2558</v>
      </c>
      <c r="D33">
        <v>2419</v>
      </c>
      <c r="E33">
        <v>139</v>
      </c>
      <c r="F33" s="3">
        <v>94.57</v>
      </c>
      <c r="G33" t="s">
        <v>38</v>
      </c>
      <c r="H33" t="s">
        <v>39</v>
      </c>
      <c r="I33" t="s">
        <v>40</v>
      </c>
    </row>
    <row r="34" spans="1:9" x14ac:dyDescent="0.3">
      <c r="A34" t="s">
        <v>20</v>
      </c>
      <c r="B34" t="s">
        <v>44</v>
      </c>
      <c r="C34">
        <v>50</v>
      </c>
      <c r="D34">
        <v>50</v>
      </c>
      <c r="E34">
        <v>0</v>
      </c>
      <c r="F34" s="3">
        <v>100</v>
      </c>
      <c r="G34" t="s">
        <v>38</v>
      </c>
      <c r="H34" t="s">
        <v>39</v>
      </c>
      <c r="I34" t="s">
        <v>40</v>
      </c>
    </row>
    <row r="35" spans="1:9" x14ac:dyDescent="0.3">
      <c r="A35" t="s">
        <v>20</v>
      </c>
      <c r="B35" t="s">
        <v>45</v>
      </c>
      <c r="C35">
        <v>74</v>
      </c>
      <c r="D35">
        <v>61</v>
      </c>
      <c r="E35">
        <v>13</v>
      </c>
      <c r="F35" s="3">
        <v>82.43</v>
      </c>
      <c r="G35" t="s">
        <v>38</v>
      </c>
      <c r="H35" t="s">
        <v>39</v>
      </c>
      <c r="I35" t="s">
        <v>40</v>
      </c>
    </row>
    <row r="36" spans="1:9" x14ac:dyDescent="0.3">
      <c r="A36" t="s">
        <v>20</v>
      </c>
      <c r="B36" t="s">
        <v>33</v>
      </c>
      <c r="C36">
        <v>26</v>
      </c>
      <c r="D36">
        <v>26</v>
      </c>
      <c r="E36">
        <v>0</v>
      </c>
      <c r="F36" s="3">
        <v>100</v>
      </c>
      <c r="G36" t="s">
        <v>38</v>
      </c>
      <c r="H36" t="s">
        <v>39</v>
      </c>
      <c r="I36" t="s">
        <v>40</v>
      </c>
    </row>
    <row r="37" spans="1:9" x14ac:dyDescent="0.3">
      <c r="A37" t="s">
        <v>20</v>
      </c>
      <c r="B37" t="s">
        <v>46</v>
      </c>
      <c r="C37">
        <v>25</v>
      </c>
      <c r="D37">
        <v>22</v>
      </c>
      <c r="E37">
        <v>3</v>
      </c>
      <c r="F37" s="3">
        <v>88</v>
      </c>
      <c r="G37" t="s">
        <v>38</v>
      </c>
      <c r="H37" t="s">
        <v>39</v>
      </c>
      <c r="I37" t="s">
        <v>40</v>
      </c>
    </row>
    <row r="38" spans="1:9" x14ac:dyDescent="0.3">
      <c r="A38" t="s">
        <v>20</v>
      </c>
      <c r="B38" t="s">
        <v>35</v>
      </c>
      <c r="C38">
        <v>175</v>
      </c>
      <c r="D38">
        <v>159</v>
      </c>
      <c r="E38">
        <v>16</v>
      </c>
      <c r="F38" s="3">
        <v>90.86</v>
      </c>
      <c r="G38" t="s">
        <v>38</v>
      </c>
      <c r="H38" t="s">
        <v>39</v>
      </c>
      <c r="I38" t="s">
        <v>40</v>
      </c>
    </row>
    <row r="39" spans="1:9" x14ac:dyDescent="0.3">
      <c r="A39" t="s">
        <v>24</v>
      </c>
      <c r="B39" t="s">
        <v>47</v>
      </c>
      <c r="C39">
        <v>5</v>
      </c>
      <c r="D39">
        <v>2</v>
      </c>
      <c r="E39">
        <v>3</v>
      </c>
      <c r="F39" s="3">
        <v>40</v>
      </c>
      <c r="G39" t="s">
        <v>38</v>
      </c>
      <c r="H39" t="s">
        <v>39</v>
      </c>
      <c r="I39" t="s">
        <v>40</v>
      </c>
    </row>
    <row r="40" spans="1:9" x14ac:dyDescent="0.3">
      <c r="A40" t="s">
        <v>24</v>
      </c>
      <c r="B40" t="s">
        <v>37</v>
      </c>
      <c r="C40">
        <v>5</v>
      </c>
      <c r="D40">
        <v>2</v>
      </c>
      <c r="E40">
        <v>3</v>
      </c>
      <c r="F40" s="3">
        <v>40</v>
      </c>
      <c r="G40" t="s">
        <v>38</v>
      </c>
      <c r="H40" t="s">
        <v>39</v>
      </c>
      <c r="I40" t="s">
        <v>40</v>
      </c>
    </row>
    <row r="41" spans="1:9" x14ac:dyDescent="0.3">
      <c r="A41" t="s">
        <v>9</v>
      </c>
      <c r="B41" t="s">
        <v>10</v>
      </c>
      <c r="C41">
        <v>173</v>
      </c>
      <c r="D41">
        <v>149</v>
      </c>
      <c r="E41">
        <v>24</v>
      </c>
      <c r="F41" s="3">
        <v>86.13</v>
      </c>
      <c r="G41" t="s">
        <v>154</v>
      </c>
      <c r="H41" t="s">
        <v>48</v>
      </c>
      <c r="I41" t="s">
        <v>49</v>
      </c>
    </row>
    <row r="42" spans="1:9" x14ac:dyDescent="0.3">
      <c r="A42" t="s">
        <v>9</v>
      </c>
      <c r="B42" t="s">
        <v>50</v>
      </c>
      <c r="C42">
        <v>2658</v>
      </c>
      <c r="D42">
        <v>2658</v>
      </c>
      <c r="E42">
        <v>0</v>
      </c>
      <c r="F42" s="3">
        <v>100</v>
      </c>
      <c r="G42" t="s">
        <v>154</v>
      </c>
      <c r="H42" t="s">
        <v>48</v>
      </c>
      <c r="I42" t="s">
        <v>49</v>
      </c>
    </row>
    <row r="43" spans="1:9" x14ac:dyDescent="0.3">
      <c r="A43" t="s">
        <v>9</v>
      </c>
      <c r="B43" t="s">
        <v>15</v>
      </c>
      <c r="C43">
        <v>2831</v>
      </c>
      <c r="D43">
        <v>2807</v>
      </c>
      <c r="E43">
        <v>24</v>
      </c>
      <c r="F43" s="3">
        <v>99.15</v>
      </c>
      <c r="G43" t="s">
        <v>154</v>
      </c>
      <c r="H43" t="s">
        <v>48</v>
      </c>
      <c r="I43" t="s">
        <v>49</v>
      </c>
    </row>
    <row r="44" spans="1:9" x14ac:dyDescent="0.3">
      <c r="A44" t="s">
        <v>16</v>
      </c>
      <c r="B44" t="s">
        <v>51</v>
      </c>
      <c r="C44">
        <v>64</v>
      </c>
      <c r="D44">
        <v>64</v>
      </c>
      <c r="E44">
        <v>0</v>
      </c>
      <c r="F44" s="3">
        <v>100</v>
      </c>
      <c r="G44" t="s">
        <v>154</v>
      </c>
      <c r="H44" t="s">
        <v>48</v>
      </c>
      <c r="I44" t="s">
        <v>49</v>
      </c>
    </row>
    <row r="45" spans="1:9" x14ac:dyDescent="0.3">
      <c r="A45" t="s">
        <v>16</v>
      </c>
      <c r="B45" t="s">
        <v>19</v>
      </c>
      <c r="C45">
        <v>64</v>
      </c>
      <c r="D45">
        <v>64</v>
      </c>
      <c r="E45">
        <v>0</v>
      </c>
      <c r="F45" s="3">
        <v>100</v>
      </c>
      <c r="G45" t="s">
        <v>154</v>
      </c>
      <c r="H45" t="s">
        <v>48</v>
      </c>
      <c r="I45" t="s">
        <v>49</v>
      </c>
    </row>
    <row r="46" spans="1:9" x14ac:dyDescent="0.3">
      <c r="A46" t="s">
        <v>20</v>
      </c>
      <c r="B46" t="s">
        <v>52</v>
      </c>
      <c r="C46">
        <v>1</v>
      </c>
      <c r="D46">
        <v>1</v>
      </c>
      <c r="E46">
        <v>0</v>
      </c>
      <c r="F46" s="3">
        <v>100</v>
      </c>
      <c r="G46" t="s">
        <v>154</v>
      </c>
      <c r="H46" t="s">
        <v>48</v>
      </c>
      <c r="I46" t="s">
        <v>49</v>
      </c>
    </row>
    <row r="47" spans="1:9" x14ac:dyDescent="0.3">
      <c r="A47" t="s">
        <v>20</v>
      </c>
      <c r="B47" t="s">
        <v>53</v>
      </c>
      <c r="C47">
        <v>64</v>
      </c>
      <c r="D47">
        <v>64</v>
      </c>
      <c r="E47">
        <v>0</v>
      </c>
      <c r="F47" s="3">
        <v>100</v>
      </c>
      <c r="G47" t="s">
        <v>154</v>
      </c>
      <c r="H47" t="s">
        <v>48</v>
      </c>
      <c r="I47" t="s">
        <v>49</v>
      </c>
    </row>
    <row r="48" spans="1:9" x14ac:dyDescent="0.3">
      <c r="A48" t="s">
        <v>20</v>
      </c>
      <c r="B48" t="s">
        <v>54</v>
      </c>
      <c r="C48">
        <v>2</v>
      </c>
      <c r="D48">
        <v>2</v>
      </c>
      <c r="E48">
        <v>0</v>
      </c>
      <c r="F48" s="3">
        <v>100</v>
      </c>
      <c r="G48" t="s">
        <v>154</v>
      </c>
      <c r="H48" t="s">
        <v>48</v>
      </c>
      <c r="I48" t="s">
        <v>49</v>
      </c>
    </row>
    <row r="49" spans="1:9" x14ac:dyDescent="0.3">
      <c r="A49" t="s">
        <v>20</v>
      </c>
      <c r="B49" t="s">
        <v>35</v>
      </c>
      <c r="C49">
        <v>67</v>
      </c>
      <c r="D49">
        <v>67</v>
      </c>
      <c r="E49">
        <v>0</v>
      </c>
      <c r="F49" s="3">
        <v>100</v>
      </c>
      <c r="G49" t="s">
        <v>154</v>
      </c>
      <c r="H49" t="s">
        <v>48</v>
      </c>
      <c r="I49" t="s">
        <v>49</v>
      </c>
    </row>
    <row r="50" spans="1:9" x14ac:dyDescent="0.3">
      <c r="A50" t="s">
        <v>9</v>
      </c>
      <c r="B50" t="s">
        <v>10</v>
      </c>
      <c r="C50">
        <v>150</v>
      </c>
      <c r="D50">
        <v>82</v>
      </c>
      <c r="E50">
        <v>68</v>
      </c>
      <c r="F50" s="3">
        <v>54.67</v>
      </c>
      <c r="G50" t="s">
        <v>146</v>
      </c>
      <c r="H50" t="s">
        <v>39</v>
      </c>
      <c r="I50" t="s">
        <v>40</v>
      </c>
    </row>
    <row r="51" spans="1:9" x14ac:dyDescent="0.3">
      <c r="A51" t="s">
        <v>9</v>
      </c>
      <c r="B51" t="s">
        <v>55</v>
      </c>
      <c r="C51">
        <v>16</v>
      </c>
      <c r="D51">
        <v>4</v>
      </c>
      <c r="E51">
        <v>12</v>
      </c>
      <c r="F51" s="3">
        <v>25</v>
      </c>
      <c r="G51" t="s">
        <v>146</v>
      </c>
      <c r="H51" t="s">
        <v>39</v>
      </c>
      <c r="I51" t="s">
        <v>40</v>
      </c>
    </row>
    <row r="52" spans="1:9" x14ac:dyDescent="0.3">
      <c r="A52" t="s">
        <v>9</v>
      </c>
      <c r="B52" t="s">
        <v>27</v>
      </c>
      <c r="C52">
        <v>8</v>
      </c>
      <c r="D52">
        <v>7</v>
      </c>
      <c r="E52">
        <v>1</v>
      </c>
      <c r="F52" s="3">
        <v>87.5</v>
      </c>
      <c r="G52" t="s">
        <v>146</v>
      </c>
      <c r="H52" t="s">
        <v>39</v>
      </c>
      <c r="I52" t="s">
        <v>40</v>
      </c>
    </row>
    <row r="53" spans="1:9" x14ac:dyDescent="0.3">
      <c r="A53" t="s">
        <v>9</v>
      </c>
      <c r="B53" t="s">
        <v>56</v>
      </c>
      <c r="C53">
        <v>29</v>
      </c>
      <c r="D53">
        <v>22</v>
      </c>
      <c r="E53">
        <v>7</v>
      </c>
      <c r="F53" s="3">
        <v>75.86</v>
      </c>
      <c r="G53" t="s">
        <v>146</v>
      </c>
      <c r="H53" t="s">
        <v>39</v>
      </c>
      <c r="I53" t="s">
        <v>40</v>
      </c>
    </row>
    <row r="54" spans="1:9" x14ac:dyDescent="0.3">
      <c r="A54" t="s">
        <v>9</v>
      </c>
      <c r="B54" t="s">
        <v>15</v>
      </c>
      <c r="C54">
        <v>203</v>
      </c>
      <c r="D54">
        <v>115</v>
      </c>
      <c r="E54">
        <v>88</v>
      </c>
      <c r="F54" s="3">
        <v>56.65</v>
      </c>
      <c r="G54" t="s">
        <v>146</v>
      </c>
      <c r="H54" t="s">
        <v>39</v>
      </c>
      <c r="I54" t="s">
        <v>40</v>
      </c>
    </row>
    <row r="55" spans="1:9" x14ac:dyDescent="0.3">
      <c r="A55" t="s">
        <v>16</v>
      </c>
      <c r="B55" t="s">
        <v>57</v>
      </c>
      <c r="C55">
        <v>2</v>
      </c>
      <c r="D55">
        <v>1</v>
      </c>
      <c r="E55">
        <v>1</v>
      </c>
      <c r="F55" s="3">
        <v>50</v>
      </c>
      <c r="G55" t="s">
        <v>146</v>
      </c>
      <c r="H55" t="s">
        <v>39</v>
      </c>
      <c r="I55" t="s">
        <v>40</v>
      </c>
    </row>
    <row r="56" spans="1:9" x14ac:dyDescent="0.3">
      <c r="A56" t="s">
        <v>16</v>
      </c>
      <c r="B56" t="s">
        <v>58</v>
      </c>
      <c r="C56">
        <v>2</v>
      </c>
      <c r="D56">
        <v>1</v>
      </c>
      <c r="E56">
        <v>1</v>
      </c>
      <c r="F56" s="3">
        <v>50</v>
      </c>
      <c r="G56" t="s">
        <v>146</v>
      </c>
      <c r="H56" t="s">
        <v>39</v>
      </c>
      <c r="I56" t="s">
        <v>40</v>
      </c>
    </row>
    <row r="57" spans="1:9" x14ac:dyDescent="0.3">
      <c r="A57" t="s">
        <v>16</v>
      </c>
      <c r="B57" t="s">
        <v>59</v>
      </c>
      <c r="C57">
        <v>2</v>
      </c>
      <c r="D57">
        <v>1</v>
      </c>
      <c r="E57">
        <v>1</v>
      </c>
      <c r="F57" s="3">
        <v>50</v>
      </c>
      <c r="G57" t="s">
        <v>146</v>
      </c>
      <c r="H57" t="s">
        <v>39</v>
      </c>
      <c r="I57" t="s">
        <v>40</v>
      </c>
    </row>
    <row r="58" spans="1:9" x14ac:dyDescent="0.3">
      <c r="A58" t="s">
        <v>16</v>
      </c>
      <c r="B58" t="s">
        <v>60</v>
      </c>
      <c r="C58">
        <v>2</v>
      </c>
      <c r="D58">
        <v>0</v>
      </c>
      <c r="E58">
        <v>2</v>
      </c>
      <c r="F58" s="3">
        <v>0</v>
      </c>
      <c r="G58" t="s">
        <v>146</v>
      </c>
      <c r="H58" t="s">
        <v>39</v>
      </c>
      <c r="I58" t="s">
        <v>40</v>
      </c>
    </row>
    <row r="59" spans="1:9" x14ac:dyDescent="0.3">
      <c r="A59" t="s">
        <v>16</v>
      </c>
      <c r="B59" t="s">
        <v>19</v>
      </c>
      <c r="C59">
        <v>8</v>
      </c>
      <c r="D59">
        <v>3</v>
      </c>
      <c r="E59">
        <v>5</v>
      </c>
      <c r="F59" s="3">
        <v>37.5</v>
      </c>
      <c r="G59" t="s">
        <v>146</v>
      </c>
      <c r="H59" t="s">
        <v>39</v>
      </c>
      <c r="I59" t="s">
        <v>40</v>
      </c>
    </row>
    <row r="60" spans="1:9" x14ac:dyDescent="0.3">
      <c r="A60" t="s">
        <v>20</v>
      </c>
      <c r="B60" t="s">
        <v>61</v>
      </c>
      <c r="C60">
        <v>136</v>
      </c>
      <c r="D60">
        <v>75</v>
      </c>
      <c r="E60">
        <v>61</v>
      </c>
      <c r="F60" s="3">
        <v>55.15</v>
      </c>
      <c r="G60" t="s">
        <v>146</v>
      </c>
      <c r="H60" t="s">
        <v>39</v>
      </c>
      <c r="I60" t="s">
        <v>40</v>
      </c>
    </row>
    <row r="61" spans="1:9" x14ac:dyDescent="0.3">
      <c r="A61" t="s">
        <v>20</v>
      </c>
      <c r="B61" t="s">
        <v>62</v>
      </c>
      <c r="C61">
        <v>34</v>
      </c>
      <c r="D61">
        <v>31</v>
      </c>
      <c r="E61">
        <v>3</v>
      </c>
      <c r="F61" s="3">
        <v>91.18</v>
      </c>
      <c r="G61" t="s">
        <v>146</v>
      </c>
      <c r="H61" t="s">
        <v>39</v>
      </c>
      <c r="I61" t="s">
        <v>40</v>
      </c>
    </row>
    <row r="62" spans="1:9" x14ac:dyDescent="0.3">
      <c r="A62" t="s">
        <v>20</v>
      </c>
      <c r="B62" t="s">
        <v>63</v>
      </c>
      <c r="C62">
        <v>3</v>
      </c>
      <c r="D62">
        <v>0</v>
      </c>
      <c r="E62">
        <v>3</v>
      </c>
      <c r="F62" s="3">
        <v>0</v>
      </c>
      <c r="G62" t="s">
        <v>146</v>
      </c>
      <c r="H62" t="s">
        <v>39</v>
      </c>
      <c r="I62" t="s">
        <v>40</v>
      </c>
    </row>
    <row r="63" spans="1:9" x14ac:dyDescent="0.3">
      <c r="A63" t="s">
        <v>20</v>
      </c>
      <c r="B63" t="s">
        <v>64</v>
      </c>
      <c r="C63">
        <v>47</v>
      </c>
      <c r="D63">
        <v>36</v>
      </c>
      <c r="E63">
        <v>11</v>
      </c>
      <c r="F63" s="3">
        <v>76.599999999999994</v>
      </c>
      <c r="G63" t="s">
        <v>146</v>
      </c>
      <c r="H63" t="s">
        <v>39</v>
      </c>
      <c r="I63" t="s">
        <v>40</v>
      </c>
    </row>
    <row r="64" spans="1:9" x14ac:dyDescent="0.3">
      <c r="A64" t="s">
        <v>20</v>
      </c>
      <c r="B64" t="s">
        <v>33</v>
      </c>
      <c r="C64">
        <v>30</v>
      </c>
      <c r="D64">
        <v>0</v>
      </c>
      <c r="E64">
        <v>30</v>
      </c>
      <c r="F64" s="3">
        <v>0</v>
      </c>
      <c r="G64" t="s">
        <v>146</v>
      </c>
      <c r="H64" t="s">
        <v>39</v>
      </c>
      <c r="I64" t="s">
        <v>40</v>
      </c>
    </row>
    <row r="65" spans="1:9" x14ac:dyDescent="0.3">
      <c r="A65" t="s">
        <v>20</v>
      </c>
      <c r="B65" t="s">
        <v>35</v>
      </c>
      <c r="C65">
        <v>250</v>
      </c>
      <c r="D65">
        <v>142</v>
      </c>
      <c r="E65">
        <v>108</v>
      </c>
      <c r="F65" s="3">
        <v>56.8</v>
      </c>
      <c r="G65" t="s">
        <v>146</v>
      </c>
      <c r="H65" t="s">
        <v>39</v>
      </c>
      <c r="I65" t="s">
        <v>40</v>
      </c>
    </row>
    <row r="66" spans="1:9" x14ac:dyDescent="0.3">
      <c r="A66" t="s">
        <v>24</v>
      </c>
      <c r="B66" t="s">
        <v>65</v>
      </c>
      <c r="C66">
        <v>5</v>
      </c>
      <c r="D66">
        <v>5</v>
      </c>
      <c r="E66">
        <v>0</v>
      </c>
      <c r="F66" s="3">
        <v>100</v>
      </c>
      <c r="G66" t="s">
        <v>146</v>
      </c>
      <c r="H66" t="s">
        <v>39</v>
      </c>
      <c r="I66" t="s">
        <v>40</v>
      </c>
    </row>
    <row r="67" spans="1:9" x14ac:dyDescent="0.3">
      <c r="A67" t="s">
        <v>24</v>
      </c>
      <c r="B67" t="s">
        <v>37</v>
      </c>
      <c r="C67">
        <v>5</v>
      </c>
      <c r="D67">
        <v>5</v>
      </c>
      <c r="E67">
        <v>0</v>
      </c>
      <c r="F67" s="3">
        <v>100</v>
      </c>
      <c r="G67" t="s">
        <v>146</v>
      </c>
      <c r="H67" t="s">
        <v>39</v>
      </c>
      <c r="I67" t="s">
        <v>40</v>
      </c>
    </row>
    <row r="68" spans="1:9" x14ac:dyDescent="0.3">
      <c r="A68" t="s">
        <v>9</v>
      </c>
      <c r="B68" t="s">
        <v>66</v>
      </c>
      <c r="C68">
        <v>127</v>
      </c>
      <c r="D68">
        <v>126</v>
      </c>
      <c r="E68">
        <v>1</v>
      </c>
      <c r="F68" s="3">
        <v>99.21</v>
      </c>
      <c r="G68" t="s">
        <v>155</v>
      </c>
      <c r="H68" t="s">
        <v>67</v>
      </c>
      <c r="I68" t="s">
        <v>40</v>
      </c>
    </row>
    <row r="69" spans="1:9" x14ac:dyDescent="0.3">
      <c r="A69" t="s">
        <v>9</v>
      </c>
      <c r="B69" t="s">
        <v>10</v>
      </c>
      <c r="C69">
        <v>12</v>
      </c>
      <c r="D69">
        <v>12</v>
      </c>
      <c r="E69">
        <v>0</v>
      </c>
      <c r="F69" s="3">
        <v>100</v>
      </c>
      <c r="G69" t="s">
        <v>155</v>
      </c>
      <c r="H69" t="s">
        <v>67</v>
      </c>
      <c r="I69" t="s">
        <v>40</v>
      </c>
    </row>
    <row r="70" spans="1:9" x14ac:dyDescent="0.3">
      <c r="A70" t="s">
        <v>9</v>
      </c>
      <c r="B70" t="s">
        <v>68</v>
      </c>
      <c r="C70">
        <v>113</v>
      </c>
      <c r="D70">
        <v>113</v>
      </c>
      <c r="E70">
        <v>0</v>
      </c>
      <c r="F70" s="3">
        <v>100</v>
      </c>
      <c r="G70" t="s">
        <v>155</v>
      </c>
      <c r="H70" t="s">
        <v>67</v>
      </c>
      <c r="I70" t="s">
        <v>40</v>
      </c>
    </row>
    <row r="71" spans="1:9" x14ac:dyDescent="0.3">
      <c r="A71" t="s">
        <v>9</v>
      </c>
      <c r="B71" t="s">
        <v>15</v>
      </c>
      <c r="C71">
        <v>252</v>
      </c>
      <c r="D71">
        <v>251</v>
      </c>
      <c r="E71">
        <v>1</v>
      </c>
      <c r="F71" s="3">
        <v>99.6</v>
      </c>
      <c r="G71" t="s">
        <v>155</v>
      </c>
      <c r="H71" t="s">
        <v>67</v>
      </c>
      <c r="I71" t="s">
        <v>40</v>
      </c>
    </row>
    <row r="72" spans="1:9" x14ac:dyDescent="0.3">
      <c r="A72" t="s">
        <v>16</v>
      </c>
      <c r="B72" t="s">
        <v>69</v>
      </c>
      <c r="C72">
        <v>5</v>
      </c>
      <c r="D72">
        <v>4</v>
      </c>
      <c r="E72">
        <v>1</v>
      </c>
      <c r="F72" s="3">
        <v>80</v>
      </c>
      <c r="G72" t="s">
        <v>155</v>
      </c>
      <c r="H72" t="s">
        <v>67</v>
      </c>
      <c r="I72" t="s">
        <v>40</v>
      </c>
    </row>
    <row r="73" spans="1:9" x14ac:dyDescent="0.3">
      <c r="A73" t="s">
        <v>16</v>
      </c>
      <c r="B73" t="s">
        <v>70</v>
      </c>
      <c r="C73">
        <v>4</v>
      </c>
      <c r="D73">
        <v>3</v>
      </c>
      <c r="E73">
        <v>1</v>
      </c>
      <c r="F73" s="3">
        <v>75</v>
      </c>
      <c r="G73" t="s">
        <v>155</v>
      </c>
      <c r="H73" t="s">
        <v>67</v>
      </c>
      <c r="I73" t="s">
        <v>40</v>
      </c>
    </row>
    <row r="74" spans="1:9" x14ac:dyDescent="0.3">
      <c r="A74" t="s">
        <v>16</v>
      </c>
      <c r="B74" t="s">
        <v>71</v>
      </c>
      <c r="C74">
        <v>1</v>
      </c>
      <c r="D74">
        <v>1</v>
      </c>
      <c r="E74">
        <v>0</v>
      </c>
      <c r="F74" s="3">
        <v>100</v>
      </c>
      <c r="G74" t="s">
        <v>155</v>
      </c>
      <c r="H74" t="s">
        <v>67</v>
      </c>
      <c r="I74" t="s">
        <v>40</v>
      </c>
    </row>
    <row r="75" spans="1:9" x14ac:dyDescent="0.3">
      <c r="A75" t="s">
        <v>16</v>
      </c>
      <c r="B75" t="s">
        <v>72</v>
      </c>
      <c r="C75">
        <v>9</v>
      </c>
      <c r="D75">
        <v>9</v>
      </c>
      <c r="E75">
        <v>0</v>
      </c>
      <c r="F75" s="3">
        <v>100</v>
      </c>
      <c r="G75" t="s">
        <v>155</v>
      </c>
      <c r="H75" t="s">
        <v>67</v>
      </c>
      <c r="I75" t="s">
        <v>40</v>
      </c>
    </row>
    <row r="76" spans="1:9" x14ac:dyDescent="0.3">
      <c r="A76" t="s">
        <v>16</v>
      </c>
      <c r="B76" t="s">
        <v>73</v>
      </c>
      <c r="C76">
        <v>7</v>
      </c>
      <c r="D76">
        <v>7</v>
      </c>
      <c r="E76">
        <v>0</v>
      </c>
      <c r="F76" s="3">
        <v>100</v>
      </c>
      <c r="G76" t="s">
        <v>155</v>
      </c>
      <c r="H76" t="s">
        <v>67</v>
      </c>
      <c r="I76" t="s">
        <v>40</v>
      </c>
    </row>
    <row r="77" spans="1:9" x14ac:dyDescent="0.3">
      <c r="A77" t="s">
        <v>16</v>
      </c>
      <c r="B77" t="s">
        <v>19</v>
      </c>
      <c r="C77">
        <v>26</v>
      </c>
      <c r="D77">
        <v>24</v>
      </c>
      <c r="E77">
        <v>2</v>
      </c>
      <c r="F77" s="3">
        <v>92.31</v>
      </c>
      <c r="G77" t="s">
        <v>155</v>
      </c>
      <c r="H77" t="s">
        <v>67</v>
      </c>
      <c r="I77" t="s">
        <v>40</v>
      </c>
    </row>
    <row r="78" spans="1:9" x14ac:dyDescent="0.3">
      <c r="A78" t="s">
        <v>20</v>
      </c>
      <c r="B78" t="s">
        <v>21</v>
      </c>
      <c r="C78">
        <v>41</v>
      </c>
      <c r="D78">
        <v>39</v>
      </c>
      <c r="E78">
        <v>2</v>
      </c>
      <c r="F78" s="3">
        <v>95.12</v>
      </c>
      <c r="G78" t="s">
        <v>155</v>
      </c>
      <c r="H78" t="s">
        <v>67</v>
      </c>
      <c r="I78" t="s">
        <v>40</v>
      </c>
    </row>
    <row r="79" spans="1:9" x14ac:dyDescent="0.3">
      <c r="A79" t="s">
        <v>20</v>
      </c>
      <c r="B79" t="s">
        <v>74</v>
      </c>
      <c r="C79">
        <v>66</v>
      </c>
      <c r="D79">
        <v>64</v>
      </c>
      <c r="E79">
        <v>2</v>
      </c>
      <c r="F79" s="3">
        <v>96.97</v>
      </c>
      <c r="G79" t="s">
        <v>155</v>
      </c>
      <c r="H79" t="s">
        <v>67</v>
      </c>
      <c r="I79" t="s">
        <v>40</v>
      </c>
    </row>
    <row r="80" spans="1:9" x14ac:dyDescent="0.3">
      <c r="A80" t="s">
        <v>20</v>
      </c>
      <c r="B80" t="s">
        <v>22</v>
      </c>
      <c r="C80">
        <v>399</v>
      </c>
      <c r="D80">
        <v>389</v>
      </c>
      <c r="E80">
        <v>10</v>
      </c>
      <c r="F80" s="3">
        <v>97.49</v>
      </c>
      <c r="G80" t="s">
        <v>155</v>
      </c>
      <c r="H80" t="s">
        <v>67</v>
      </c>
      <c r="I80" t="s">
        <v>40</v>
      </c>
    </row>
    <row r="81" spans="1:9" x14ac:dyDescent="0.3">
      <c r="A81" t="s">
        <v>20</v>
      </c>
      <c r="B81" t="s">
        <v>75</v>
      </c>
      <c r="C81">
        <v>33</v>
      </c>
      <c r="D81">
        <v>29</v>
      </c>
      <c r="E81">
        <v>4</v>
      </c>
      <c r="F81" s="3">
        <v>87.88</v>
      </c>
      <c r="G81" t="s">
        <v>155</v>
      </c>
      <c r="H81" t="s">
        <v>67</v>
      </c>
      <c r="I81" t="s">
        <v>40</v>
      </c>
    </row>
    <row r="82" spans="1:9" x14ac:dyDescent="0.3">
      <c r="A82" t="s">
        <v>20</v>
      </c>
      <c r="B82" t="s">
        <v>76</v>
      </c>
      <c r="C82">
        <v>5</v>
      </c>
      <c r="D82">
        <v>5</v>
      </c>
      <c r="E82">
        <v>0</v>
      </c>
      <c r="F82" s="3">
        <v>100</v>
      </c>
      <c r="G82" t="s">
        <v>155</v>
      </c>
      <c r="H82" t="s">
        <v>67</v>
      </c>
      <c r="I82" t="s">
        <v>40</v>
      </c>
    </row>
    <row r="83" spans="1:9" x14ac:dyDescent="0.3">
      <c r="A83" t="s">
        <v>20</v>
      </c>
      <c r="B83" t="s">
        <v>77</v>
      </c>
      <c r="C83">
        <v>73</v>
      </c>
      <c r="D83">
        <v>63</v>
      </c>
      <c r="E83">
        <v>10</v>
      </c>
      <c r="F83" s="3">
        <v>86.3</v>
      </c>
      <c r="G83" t="s">
        <v>155</v>
      </c>
      <c r="H83" t="s">
        <v>67</v>
      </c>
      <c r="I83" t="s">
        <v>40</v>
      </c>
    </row>
    <row r="84" spans="1:9" x14ac:dyDescent="0.3">
      <c r="A84" t="s">
        <v>20</v>
      </c>
      <c r="B84" t="s">
        <v>33</v>
      </c>
      <c r="C84">
        <v>31</v>
      </c>
      <c r="D84">
        <v>27</v>
      </c>
      <c r="E84">
        <v>4</v>
      </c>
      <c r="F84" s="3">
        <v>87.1</v>
      </c>
      <c r="G84" t="s">
        <v>155</v>
      </c>
      <c r="H84" t="s">
        <v>67</v>
      </c>
      <c r="I84" t="s">
        <v>40</v>
      </c>
    </row>
    <row r="85" spans="1:9" x14ac:dyDescent="0.3">
      <c r="A85" t="s">
        <v>20</v>
      </c>
      <c r="B85" t="s">
        <v>35</v>
      </c>
      <c r="C85">
        <v>648</v>
      </c>
      <c r="D85">
        <v>616</v>
      </c>
      <c r="E85">
        <v>32</v>
      </c>
      <c r="F85" s="3">
        <v>95.06</v>
      </c>
      <c r="G85" t="s">
        <v>155</v>
      </c>
      <c r="H85" t="s">
        <v>67</v>
      </c>
      <c r="I85" t="s">
        <v>40</v>
      </c>
    </row>
    <row r="86" spans="1:9" x14ac:dyDescent="0.3">
      <c r="A86" t="s">
        <v>24</v>
      </c>
      <c r="B86" t="s">
        <v>78</v>
      </c>
      <c r="C86">
        <v>11</v>
      </c>
      <c r="D86">
        <v>9</v>
      </c>
      <c r="E86">
        <v>2</v>
      </c>
      <c r="F86" s="3">
        <v>81.819999999999993</v>
      </c>
      <c r="G86" t="s">
        <v>155</v>
      </c>
      <c r="H86" t="s">
        <v>67</v>
      </c>
      <c r="I86" t="s">
        <v>40</v>
      </c>
    </row>
    <row r="87" spans="1:9" x14ac:dyDescent="0.3">
      <c r="A87" t="s">
        <v>24</v>
      </c>
      <c r="B87" t="s">
        <v>37</v>
      </c>
      <c r="C87">
        <v>11</v>
      </c>
      <c r="D87">
        <v>9</v>
      </c>
      <c r="E87">
        <v>2</v>
      </c>
      <c r="F87" s="3">
        <v>81.819999999999993</v>
      </c>
      <c r="G87" t="s">
        <v>155</v>
      </c>
      <c r="H87" t="s">
        <v>67</v>
      </c>
      <c r="I87" t="s">
        <v>40</v>
      </c>
    </row>
    <row r="88" spans="1:9" x14ac:dyDescent="0.3">
      <c r="A88" t="s">
        <v>9</v>
      </c>
      <c r="B88" t="s">
        <v>66</v>
      </c>
      <c r="C88">
        <v>8</v>
      </c>
      <c r="D88">
        <v>7</v>
      </c>
      <c r="E88">
        <v>1</v>
      </c>
      <c r="F88" s="3">
        <v>87.5</v>
      </c>
      <c r="G88" t="s">
        <v>79</v>
      </c>
      <c r="H88" t="s">
        <v>80</v>
      </c>
      <c r="I88" t="s">
        <v>49</v>
      </c>
    </row>
    <row r="89" spans="1:9" x14ac:dyDescent="0.3">
      <c r="A89" t="s">
        <v>9</v>
      </c>
      <c r="B89" t="s">
        <v>10</v>
      </c>
      <c r="C89">
        <v>29</v>
      </c>
      <c r="D89">
        <v>25</v>
      </c>
      <c r="E89">
        <v>4</v>
      </c>
      <c r="F89" s="3">
        <v>86.21</v>
      </c>
      <c r="G89" t="s">
        <v>79</v>
      </c>
      <c r="H89" t="s">
        <v>80</v>
      </c>
      <c r="I89" t="s">
        <v>49</v>
      </c>
    </row>
    <row r="90" spans="1:9" x14ac:dyDescent="0.3">
      <c r="A90" t="s">
        <v>9</v>
      </c>
      <c r="B90" t="s">
        <v>15</v>
      </c>
      <c r="C90">
        <v>37</v>
      </c>
      <c r="D90">
        <v>32</v>
      </c>
      <c r="E90">
        <v>5</v>
      </c>
      <c r="F90" s="3">
        <v>86.49</v>
      </c>
      <c r="G90" t="s">
        <v>79</v>
      </c>
      <c r="H90" t="s">
        <v>80</v>
      </c>
      <c r="I90" t="s">
        <v>49</v>
      </c>
    </row>
    <row r="91" spans="1:9" x14ac:dyDescent="0.3">
      <c r="A91" t="s">
        <v>16</v>
      </c>
      <c r="B91" t="s">
        <v>81</v>
      </c>
      <c r="C91">
        <v>13</v>
      </c>
      <c r="D91">
        <v>11</v>
      </c>
      <c r="E91">
        <v>2</v>
      </c>
      <c r="F91" s="3">
        <v>84.62</v>
      </c>
      <c r="G91" t="s">
        <v>79</v>
      </c>
      <c r="H91" t="s">
        <v>80</v>
      </c>
      <c r="I91" t="s">
        <v>49</v>
      </c>
    </row>
    <row r="92" spans="1:9" x14ac:dyDescent="0.3">
      <c r="A92" t="s">
        <v>16</v>
      </c>
      <c r="B92" t="s">
        <v>82</v>
      </c>
      <c r="C92">
        <v>7</v>
      </c>
      <c r="D92">
        <v>7</v>
      </c>
      <c r="E92">
        <v>0</v>
      </c>
      <c r="F92" s="3">
        <v>100</v>
      </c>
      <c r="G92" t="s">
        <v>79</v>
      </c>
      <c r="H92" t="s">
        <v>80</v>
      </c>
      <c r="I92" t="s">
        <v>49</v>
      </c>
    </row>
    <row r="93" spans="1:9" x14ac:dyDescent="0.3">
      <c r="A93" t="s">
        <v>16</v>
      </c>
      <c r="B93" t="s">
        <v>28</v>
      </c>
      <c r="C93">
        <v>1</v>
      </c>
      <c r="D93">
        <v>1</v>
      </c>
      <c r="E93">
        <v>0</v>
      </c>
      <c r="F93" s="3">
        <v>100</v>
      </c>
      <c r="G93" t="s">
        <v>79</v>
      </c>
      <c r="H93" t="s">
        <v>80</v>
      </c>
      <c r="I93" t="s">
        <v>49</v>
      </c>
    </row>
    <row r="94" spans="1:9" x14ac:dyDescent="0.3">
      <c r="A94" t="s">
        <v>16</v>
      </c>
      <c r="B94" t="s">
        <v>19</v>
      </c>
      <c r="C94">
        <v>21</v>
      </c>
      <c r="D94">
        <v>18</v>
      </c>
      <c r="E94">
        <v>2</v>
      </c>
      <c r="F94" s="3">
        <v>85.71</v>
      </c>
      <c r="G94" t="s">
        <v>79</v>
      </c>
      <c r="H94" t="s">
        <v>80</v>
      </c>
      <c r="I94" t="s">
        <v>49</v>
      </c>
    </row>
    <row r="95" spans="1:9" x14ac:dyDescent="0.3">
      <c r="A95" t="s">
        <v>20</v>
      </c>
      <c r="B95" t="s">
        <v>83</v>
      </c>
      <c r="C95">
        <v>40</v>
      </c>
      <c r="D95">
        <v>35</v>
      </c>
      <c r="E95">
        <v>5</v>
      </c>
      <c r="F95" s="3">
        <v>87.5</v>
      </c>
      <c r="G95" t="s">
        <v>79</v>
      </c>
      <c r="H95" t="s">
        <v>80</v>
      </c>
      <c r="I95" t="s">
        <v>49</v>
      </c>
    </row>
    <row r="96" spans="1:9" x14ac:dyDescent="0.3">
      <c r="A96" t="s">
        <v>20</v>
      </c>
      <c r="B96" t="s">
        <v>21</v>
      </c>
      <c r="C96">
        <v>2</v>
      </c>
      <c r="D96">
        <v>2</v>
      </c>
      <c r="E96">
        <v>0</v>
      </c>
      <c r="F96" s="3">
        <v>100</v>
      </c>
      <c r="G96" t="s">
        <v>79</v>
      </c>
      <c r="H96" t="s">
        <v>80</v>
      </c>
      <c r="I96" t="s">
        <v>49</v>
      </c>
    </row>
    <row r="97" spans="1:9" x14ac:dyDescent="0.3">
      <c r="A97" t="s">
        <v>20</v>
      </c>
      <c r="B97" t="s">
        <v>84</v>
      </c>
      <c r="C97">
        <v>1</v>
      </c>
      <c r="D97">
        <v>1</v>
      </c>
      <c r="E97">
        <v>0</v>
      </c>
      <c r="F97" s="3">
        <v>100</v>
      </c>
      <c r="G97" t="s">
        <v>79</v>
      </c>
      <c r="H97" t="s">
        <v>80</v>
      </c>
      <c r="I97" t="s">
        <v>49</v>
      </c>
    </row>
    <row r="98" spans="1:9" x14ac:dyDescent="0.3">
      <c r="A98" t="s">
        <v>20</v>
      </c>
      <c r="B98" t="s">
        <v>22</v>
      </c>
      <c r="C98">
        <v>19</v>
      </c>
      <c r="D98">
        <v>17</v>
      </c>
      <c r="E98">
        <v>2</v>
      </c>
      <c r="F98" s="3">
        <v>89.47</v>
      </c>
      <c r="G98" t="s">
        <v>79</v>
      </c>
      <c r="H98" t="s">
        <v>80</v>
      </c>
      <c r="I98" t="s">
        <v>49</v>
      </c>
    </row>
    <row r="99" spans="1:9" x14ac:dyDescent="0.3">
      <c r="A99" t="s">
        <v>20</v>
      </c>
      <c r="B99" t="s">
        <v>85</v>
      </c>
      <c r="C99">
        <v>43</v>
      </c>
      <c r="D99">
        <v>31</v>
      </c>
      <c r="E99">
        <v>12</v>
      </c>
      <c r="F99" s="3">
        <v>72.09</v>
      </c>
      <c r="G99" t="s">
        <v>79</v>
      </c>
      <c r="H99" t="s">
        <v>80</v>
      </c>
      <c r="I99" t="s">
        <v>49</v>
      </c>
    </row>
    <row r="100" spans="1:9" x14ac:dyDescent="0.3">
      <c r="A100" t="s">
        <v>20</v>
      </c>
      <c r="B100" t="s">
        <v>35</v>
      </c>
      <c r="C100">
        <v>105</v>
      </c>
      <c r="D100">
        <v>86</v>
      </c>
      <c r="E100">
        <v>19</v>
      </c>
      <c r="F100" s="3">
        <v>81.900000000000006</v>
      </c>
      <c r="G100" t="s">
        <v>79</v>
      </c>
      <c r="H100" t="s">
        <v>80</v>
      </c>
      <c r="I100" t="s">
        <v>49</v>
      </c>
    </row>
    <row r="101" spans="1:9" x14ac:dyDescent="0.3">
      <c r="A101" t="s">
        <v>24</v>
      </c>
      <c r="B101" t="s">
        <v>78</v>
      </c>
      <c r="C101">
        <v>8</v>
      </c>
      <c r="D101">
        <v>8</v>
      </c>
      <c r="E101">
        <v>0</v>
      </c>
      <c r="F101" s="3">
        <v>100</v>
      </c>
      <c r="G101" t="s">
        <v>79</v>
      </c>
      <c r="H101" t="s">
        <v>80</v>
      </c>
      <c r="I101" t="s">
        <v>49</v>
      </c>
    </row>
    <row r="102" spans="1:9" x14ac:dyDescent="0.3">
      <c r="A102" t="s">
        <v>24</v>
      </c>
      <c r="B102" t="s">
        <v>86</v>
      </c>
      <c r="C102">
        <v>1</v>
      </c>
      <c r="D102">
        <v>1</v>
      </c>
      <c r="E102">
        <v>0</v>
      </c>
      <c r="F102" s="3">
        <v>100</v>
      </c>
      <c r="G102" t="s">
        <v>79</v>
      </c>
      <c r="H102" t="s">
        <v>80</v>
      </c>
      <c r="I102" t="s">
        <v>49</v>
      </c>
    </row>
    <row r="103" spans="1:9" x14ac:dyDescent="0.3">
      <c r="A103" t="s">
        <v>24</v>
      </c>
      <c r="B103" t="s">
        <v>37</v>
      </c>
      <c r="C103">
        <v>9</v>
      </c>
      <c r="D103">
        <v>9</v>
      </c>
      <c r="E103">
        <v>0</v>
      </c>
      <c r="F103" s="3">
        <v>100</v>
      </c>
      <c r="G103" t="s">
        <v>79</v>
      </c>
      <c r="H103" t="s">
        <v>80</v>
      </c>
      <c r="I103" t="s">
        <v>49</v>
      </c>
    </row>
    <row r="104" spans="1:9" x14ac:dyDescent="0.3">
      <c r="A104" t="s">
        <v>9</v>
      </c>
      <c r="B104" t="s">
        <v>10</v>
      </c>
      <c r="C104">
        <v>231</v>
      </c>
      <c r="D104">
        <v>231</v>
      </c>
      <c r="E104">
        <v>0</v>
      </c>
      <c r="F104" s="3">
        <v>100</v>
      </c>
      <c r="G104" t="s">
        <v>87</v>
      </c>
      <c r="H104" t="s">
        <v>67</v>
      </c>
      <c r="I104" t="s">
        <v>40</v>
      </c>
    </row>
    <row r="105" spans="1:9" x14ac:dyDescent="0.3">
      <c r="A105" t="s">
        <v>9</v>
      </c>
      <c r="B105" t="s">
        <v>27</v>
      </c>
      <c r="C105">
        <v>1778</v>
      </c>
      <c r="D105">
        <v>1725</v>
      </c>
      <c r="E105">
        <v>53</v>
      </c>
      <c r="F105" s="3">
        <v>97.02</v>
      </c>
      <c r="G105" t="s">
        <v>87</v>
      </c>
      <c r="H105" t="s">
        <v>67</v>
      </c>
      <c r="I105" t="s">
        <v>40</v>
      </c>
    </row>
    <row r="106" spans="1:9" x14ac:dyDescent="0.3">
      <c r="A106" t="s">
        <v>9</v>
      </c>
      <c r="B106" t="s">
        <v>15</v>
      </c>
      <c r="C106">
        <v>2009</v>
      </c>
      <c r="D106">
        <v>1956</v>
      </c>
      <c r="E106">
        <v>53</v>
      </c>
      <c r="F106" s="3">
        <v>97.36</v>
      </c>
      <c r="G106" t="s">
        <v>87</v>
      </c>
      <c r="H106" t="s">
        <v>67</v>
      </c>
      <c r="I106" t="s">
        <v>40</v>
      </c>
    </row>
    <row r="107" spans="1:9" x14ac:dyDescent="0.3">
      <c r="A107" t="s">
        <v>16</v>
      </c>
      <c r="B107" t="s">
        <v>88</v>
      </c>
      <c r="C107">
        <v>301</v>
      </c>
      <c r="D107">
        <v>301</v>
      </c>
      <c r="E107">
        <v>0</v>
      </c>
      <c r="F107" s="3">
        <v>100</v>
      </c>
      <c r="G107" t="s">
        <v>87</v>
      </c>
      <c r="H107" t="s">
        <v>67</v>
      </c>
      <c r="I107" t="s">
        <v>40</v>
      </c>
    </row>
    <row r="108" spans="1:9" x14ac:dyDescent="0.3">
      <c r="A108" t="s">
        <v>16</v>
      </c>
      <c r="B108" t="s">
        <v>19</v>
      </c>
      <c r="C108">
        <v>301</v>
      </c>
      <c r="D108">
        <v>301</v>
      </c>
      <c r="E108">
        <v>0</v>
      </c>
      <c r="F108" s="3">
        <v>100</v>
      </c>
      <c r="G108" t="s">
        <v>87</v>
      </c>
      <c r="H108" t="s">
        <v>67</v>
      </c>
      <c r="I108" t="s">
        <v>40</v>
      </c>
    </row>
    <row r="109" spans="1:9" x14ac:dyDescent="0.3">
      <c r="A109" t="s">
        <v>20</v>
      </c>
      <c r="B109" t="s">
        <v>89</v>
      </c>
      <c r="C109">
        <v>325</v>
      </c>
      <c r="D109">
        <v>325</v>
      </c>
      <c r="E109">
        <v>0</v>
      </c>
      <c r="F109" s="3">
        <v>100</v>
      </c>
      <c r="G109" t="s">
        <v>87</v>
      </c>
      <c r="H109" t="s">
        <v>67</v>
      </c>
      <c r="I109" t="s">
        <v>40</v>
      </c>
    </row>
    <row r="110" spans="1:9" x14ac:dyDescent="0.3">
      <c r="A110" t="s">
        <v>20</v>
      </c>
      <c r="B110" t="s">
        <v>53</v>
      </c>
      <c r="C110">
        <v>534</v>
      </c>
      <c r="D110">
        <v>517</v>
      </c>
      <c r="E110">
        <v>17</v>
      </c>
      <c r="F110" s="3">
        <v>96.82</v>
      </c>
      <c r="G110" t="s">
        <v>87</v>
      </c>
      <c r="H110" t="s">
        <v>67</v>
      </c>
      <c r="I110" t="s">
        <v>40</v>
      </c>
    </row>
    <row r="111" spans="1:9" x14ac:dyDescent="0.3">
      <c r="A111" t="s">
        <v>20</v>
      </c>
      <c r="B111" t="s">
        <v>33</v>
      </c>
      <c r="C111">
        <v>94</v>
      </c>
      <c r="D111">
        <v>88</v>
      </c>
      <c r="E111">
        <v>6</v>
      </c>
      <c r="F111" s="3">
        <v>93.62</v>
      </c>
      <c r="G111" t="s">
        <v>87</v>
      </c>
      <c r="H111" t="s">
        <v>67</v>
      </c>
      <c r="I111" t="s">
        <v>40</v>
      </c>
    </row>
    <row r="112" spans="1:9" x14ac:dyDescent="0.3">
      <c r="A112" t="s">
        <v>20</v>
      </c>
      <c r="B112" t="s">
        <v>46</v>
      </c>
      <c r="C112">
        <v>25</v>
      </c>
      <c r="D112">
        <v>22</v>
      </c>
      <c r="E112">
        <v>3</v>
      </c>
      <c r="F112" s="3">
        <v>88</v>
      </c>
      <c r="G112" t="s">
        <v>87</v>
      </c>
      <c r="H112" t="s">
        <v>67</v>
      </c>
      <c r="I112" t="s">
        <v>40</v>
      </c>
    </row>
    <row r="113" spans="1:9" x14ac:dyDescent="0.3">
      <c r="A113" t="s">
        <v>20</v>
      </c>
      <c r="B113" t="s">
        <v>35</v>
      </c>
      <c r="C113">
        <v>978</v>
      </c>
      <c r="D113">
        <v>952</v>
      </c>
      <c r="E113">
        <v>26</v>
      </c>
      <c r="F113" s="3">
        <v>97.34</v>
      </c>
      <c r="G113" t="s">
        <v>87</v>
      </c>
      <c r="H113" t="s">
        <v>67</v>
      </c>
      <c r="I113" t="s">
        <v>40</v>
      </c>
    </row>
    <row r="114" spans="1:9" x14ac:dyDescent="0.3">
      <c r="A114" t="s">
        <v>24</v>
      </c>
      <c r="B114" t="s">
        <v>78</v>
      </c>
      <c r="C114">
        <v>10</v>
      </c>
      <c r="D114">
        <v>9</v>
      </c>
      <c r="E114">
        <v>1</v>
      </c>
      <c r="F114" s="3">
        <v>90</v>
      </c>
      <c r="G114" t="s">
        <v>87</v>
      </c>
      <c r="H114" t="s">
        <v>67</v>
      </c>
      <c r="I114" t="s">
        <v>40</v>
      </c>
    </row>
    <row r="115" spans="1:9" x14ac:dyDescent="0.3">
      <c r="A115" t="s">
        <v>24</v>
      </c>
      <c r="B115" t="s">
        <v>65</v>
      </c>
      <c r="C115">
        <v>4</v>
      </c>
      <c r="D115">
        <v>4</v>
      </c>
      <c r="E115">
        <v>0</v>
      </c>
      <c r="F115" s="3">
        <v>100</v>
      </c>
      <c r="G115" t="s">
        <v>87</v>
      </c>
      <c r="H115" t="s">
        <v>67</v>
      </c>
      <c r="I115" t="s">
        <v>40</v>
      </c>
    </row>
    <row r="116" spans="1:9" x14ac:dyDescent="0.3">
      <c r="A116" t="s">
        <v>24</v>
      </c>
      <c r="B116" t="s">
        <v>37</v>
      </c>
      <c r="C116">
        <v>14</v>
      </c>
      <c r="D116">
        <v>13</v>
      </c>
      <c r="E116">
        <v>1</v>
      </c>
      <c r="F116" s="3">
        <v>92.86</v>
      </c>
      <c r="G116" t="s">
        <v>87</v>
      </c>
      <c r="H116" t="s">
        <v>67</v>
      </c>
      <c r="I116" t="s">
        <v>40</v>
      </c>
    </row>
    <row r="117" spans="1:9" x14ac:dyDescent="0.3">
      <c r="A117" t="s">
        <v>9</v>
      </c>
      <c r="B117" t="s">
        <v>10</v>
      </c>
      <c r="C117">
        <v>130</v>
      </c>
      <c r="D117">
        <v>89</v>
      </c>
      <c r="E117">
        <v>41</v>
      </c>
      <c r="F117" s="3">
        <v>68.459999999999994</v>
      </c>
      <c r="G117" t="s">
        <v>91</v>
      </c>
      <c r="H117" t="s">
        <v>92</v>
      </c>
      <c r="I117" t="s">
        <v>93</v>
      </c>
    </row>
    <row r="118" spans="1:9" x14ac:dyDescent="0.3">
      <c r="A118" t="s">
        <v>9</v>
      </c>
      <c r="B118" t="s">
        <v>94</v>
      </c>
      <c r="C118">
        <v>18</v>
      </c>
      <c r="D118">
        <v>4</v>
      </c>
      <c r="E118">
        <v>14</v>
      </c>
      <c r="F118" s="3">
        <v>22.22</v>
      </c>
      <c r="G118" t="s">
        <v>91</v>
      </c>
      <c r="H118" t="s">
        <v>92</v>
      </c>
      <c r="I118" t="s">
        <v>93</v>
      </c>
    </row>
    <row r="119" spans="1:9" x14ac:dyDescent="0.3">
      <c r="A119" t="s">
        <v>9</v>
      </c>
      <c r="B119" t="s">
        <v>156</v>
      </c>
      <c r="C119">
        <v>148</v>
      </c>
      <c r="D119">
        <v>93</v>
      </c>
      <c r="E119">
        <v>55</v>
      </c>
      <c r="F119" s="3">
        <v>62.84</v>
      </c>
      <c r="G119" t="s">
        <v>91</v>
      </c>
      <c r="H119" t="s">
        <v>92</v>
      </c>
      <c r="I119" t="s">
        <v>93</v>
      </c>
    </row>
    <row r="120" spans="1:9" x14ac:dyDescent="0.3">
      <c r="A120" t="s">
        <v>16</v>
      </c>
      <c r="B120" t="s">
        <v>81</v>
      </c>
      <c r="C120">
        <v>37</v>
      </c>
      <c r="D120">
        <v>16</v>
      </c>
      <c r="E120">
        <v>21</v>
      </c>
      <c r="F120" s="3">
        <v>43.24</v>
      </c>
      <c r="G120" t="s">
        <v>91</v>
      </c>
      <c r="H120" t="s">
        <v>92</v>
      </c>
      <c r="I120" t="s">
        <v>93</v>
      </c>
    </row>
    <row r="121" spans="1:9" x14ac:dyDescent="0.3">
      <c r="A121" t="s">
        <v>16</v>
      </c>
      <c r="B121" t="s">
        <v>95</v>
      </c>
      <c r="C121">
        <v>1</v>
      </c>
      <c r="D121">
        <v>0</v>
      </c>
      <c r="E121">
        <v>1</v>
      </c>
      <c r="F121" s="3">
        <v>0</v>
      </c>
      <c r="G121" t="s">
        <v>91</v>
      </c>
      <c r="H121" t="s">
        <v>92</v>
      </c>
      <c r="I121" t="s">
        <v>93</v>
      </c>
    </row>
    <row r="122" spans="1:9" x14ac:dyDescent="0.3">
      <c r="A122" t="s">
        <v>16</v>
      </c>
      <c r="B122" t="s">
        <v>19</v>
      </c>
      <c r="C122">
        <v>38</v>
      </c>
      <c r="D122">
        <v>16</v>
      </c>
      <c r="E122">
        <v>22</v>
      </c>
      <c r="F122" s="3">
        <v>42.11</v>
      </c>
      <c r="G122" t="s">
        <v>91</v>
      </c>
      <c r="H122" t="s">
        <v>92</v>
      </c>
      <c r="I122" t="s">
        <v>93</v>
      </c>
    </row>
    <row r="123" spans="1:9" x14ac:dyDescent="0.3">
      <c r="A123" t="s">
        <v>20</v>
      </c>
      <c r="B123" t="s">
        <v>21</v>
      </c>
      <c r="C123">
        <v>51</v>
      </c>
      <c r="D123">
        <v>24</v>
      </c>
      <c r="E123">
        <v>27</v>
      </c>
      <c r="F123" s="3">
        <v>47.06</v>
      </c>
      <c r="G123" t="s">
        <v>91</v>
      </c>
      <c r="H123" t="s">
        <v>92</v>
      </c>
      <c r="I123" t="s">
        <v>93</v>
      </c>
    </row>
    <row r="124" spans="1:9" x14ac:dyDescent="0.3">
      <c r="A124" t="s">
        <v>20</v>
      </c>
      <c r="B124" t="s">
        <v>96</v>
      </c>
      <c r="C124">
        <v>5</v>
      </c>
      <c r="D124">
        <v>5</v>
      </c>
      <c r="E124">
        <v>0</v>
      </c>
      <c r="F124" s="3">
        <v>100</v>
      </c>
      <c r="G124" t="s">
        <v>91</v>
      </c>
      <c r="H124" t="s">
        <v>92</v>
      </c>
      <c r="I124" t="s">
        <v>93</v>
      </c>
    </row>
    <row r="125" spans="1:9" x14ac:dyDescent="0.3">
      <c r="A125" t="s">
        <v>20</v>
      </c>
      <c r="B125" t="s">
        <v>74</v>
      </c>
      <c r="C125">
        <v>110</v>
      </c>
      <c r="D125">
        <v>39</v>
      </c>
      <c r="E125">
        <v>71</v>
      </c>
      <c r="F125" s="3">
        <v>35.450000000000003</v>
      </c>
      <c r="G125" t="s">
        <v>91</v>
      </c>
      <c r="H125" t="s">
        <v>92</v>
      </c>
      <c r="I125" t="s">
        <v>93</v>
      </c>
    </row>
    <row r="126" spans="1:9" x14ac:dyDescent="0.3">
      <c r="A126" t="s">
        <v>20</v>
      </c>
      <c r="B126" t="s">
        <v>22</v>
      </c>
      <c r="C126">
        <v>9</v>
      </c>
      <c r="D126">
        <v>5</v>
      </c>
      <c r="E126">
        <v>4</v>
      </c>
      <c r="F126" s="3">
        <v>55.56</v>
      </c>
      <c r="G126" t="s">
        <v>91</v>
      </c>
      <c r="H126" t="s">
        <v>92</v>
      </c>
      <c r="I126" t="s">
        <v>93</v>
      </c>
    </row>
    <row r="127" spans="1:9" x14ac:dyDescent="0.3">
      <c r="A127" t="s">
        <v>20</v>
      </c>
      <c r="B127" t="s">
        <v>97</v>
      </c>
      <c r="C127">
        <v>14</v>
      </c>
      <c r="D127">
        <v>10</v>
      </c>
      <c r="E127">
        <v>4</v>
      </c>
      <c r="F127" s="3">
        <v>71.430000000000007</v>
      </c>
      <c r="G127" t="s">
        <v>91</v>
      </c>
      <c r="H127" t="s">
        <v>92</v>
      </c>
      <c r="I127" t="s">
        <v>93</v>
      </c>
    </row>
    <row r="128" spans="1:9" x14ac:dyDescent="0.3">
      <c r="A128" t="s">
        <v>20</v>
      </c>
      <c r="B128" t="s">
        <v>98</v>
      </c>
      <c r="C128">
        <v>4</v>
      </c>
      <c r="D128">
        <v>3</v>
      </c>
      <c r="E128">
        <v>1</v>
      </c>
      <c r="F128" s="3">
        <v>75</v>
      </c>
      <c r="G128" t="s">
        <v>91</v>
      </c>
      <c r="H128" t="s">
        <v>92</v>
      </c>
      <c r="I128" t="s">
        <v>93</v>
      </c>
    </row>
    <row r="129" spans="1:9" x14ac:dyDescent="0.3">
      <c r="A129" t="s">
        <v>20</v>
      </c>
      <c r="B129" t="s">
        <v>99</v>
      </c>
      <c r="C129">
        <v>9</v>
      </c>
      <c r="D129">
        <v>7</v>
      </c>
      <c r="E129">
        <v>2</v>
      </c>
      <c r="F129" s="3">
        <v>77.78</v>
      </c>
      <c r="G129" t="s">
        <v>91</v>
      </c>
      <c r="H129" t="s">
        <v>92</v>
      </c>
      <c r="I129" t="s">
        <v>93</v>
      </c>
    </row>
    <row r="130" spans="1:9" x14ac:dyDescent="0.3">
      <c r="A130" t="s">
        <v>20</v>
      </c>
      <c r="B130" t="s">
        <v>34</v>
      </c>
      <c r="C130">
        <v>22</v>
      </c>
      <c r="D130">
        <v>22</v>
      </c>
      <c r="E130">
        <v>0</v>
      </c>
      <c r="F130" s="3">
        <v>100</v>
      </c>
      <c r="G130" t="s">
        <v>91</v>
      </c>
      <c r="H130" t="s">
        <v>92</v>
      </c>
      <c r="I130" t="s">
        <v>93</v>
      </c>
    </row>
    <row r="131" spans="1:9" x14ac:dyDescent="0.3">
      <c r="A131" t="s">
        <v>20</v>
      </c>
      <c r="B131" t="s">
        <v>33</v>
      </c>
      <c r="C131">
        <v>388</v>
      </c>
      <c r="D131">
        <v>290</v>
      </c>
      <c r="E131">
        <v>98</v>
      </c>
      <c r="F131" s="3">
        <v>74.739999999999995</v>
      </c>
      <c r="G131" t="s">
        <v>91</v>
      </c>
      <c r="H131" t="s">
        <v>92</v>
      </c>
      <c r="I131" t="s">
        <v>93</v>
      </c>
    </row>
    <row r="132" spans="1:9" x14ac:dyDescent="0.3">
      <c r="A132" t="s">
        <v>20</v>
      </c>
      <c r="B132" t="s">
        <v>35</v>
      </c>
      <c r="C132">
        <v>612</v>
      </c>
      <c r="D132">
        <v>405</v>
      </c>
      <c r="E132">
        <v>207</v>
      </c>
      <c r="F132" s="3">
        <v>66.180000000000007</v>
      </c>
      <c r="G132" t="s">
        <v>91</v>
      </c>
      <c r="H132" t="s">
        <v>92</v>
      </c>
      <c r="I132" t="s">
        <v>93</v>
      </c>
    </row>
    <row r="133" spans="1:9" x14ac:dyDescent="0.3">
      <c r="A133" t="s">
        <v>24</v>
      </c>
      <c r="B133" t="s">
        <v>100</v>
      </c>
      <c r="C133">
        <v>5</v>
      </c>
      <c r="D133">
        <v>2</v>
      </c>
      <c r="E133">
        <v>3</v>
      </c>
      <c r="F133" s="3">
        <v>40</v>
      </c>
      <c r="G133" t="s">
        <v>91</v>
      </c>
      <c r="H133" t="s">
        <v>92</v>
      </c>
      <c r="I133" t="s">
        <v>93</v>
      </c>
    </row>
    <row r="134" spans="1:9" x14ac:dyDescent="0.3">
      <c r="A134" t="s">
        <v>24</v>
      </c>
      <c r="B134" t="s">
        <v>37</v>
      </c>
      <c r="C134">
        <v>5</v>
      </c>
      <c r="D134">
        <v>2</v>
      </c>
      <c r="E134">
        <v>3</v>
      </c>
      <c r="F134" s="3">
        <v>40</v>
      </c>
      <c r="G134" t="s">
        <v>91</v>
      </c>
      <c r="H134" t="s">
        <v>92</v>
      </c>
      <c r="I134" t="s">
        <v>93</v>
      </c>
    </row>
    <row r="135" spans="1:9" x14ac:dyDescent="0.3">
      <c r="A135" t="s">
        <v>9</v>
      </c>
      <c r="B135" t="s">
        <v>101</v>
      </c>
      <c r="C135">
        <v>669</v>
      </c>
      <c r="D135">
        <v>669</v>
      </c>
      <c r="E135">
        <v>0</v>
      </c>
      <c r="F135" s="3">
        <v>100</v>
      </c>
      <c r="G135" t="s">
        <v>102</v>
      </c>
      <c r="H135" t="s">
        <v>103</v>
      </c>
      <c r="I135" t="s">
        <v>93</v>
      </c>
    </row>
    <row r="136" spans="1:9" x14ac:dyDescent="0.3">
      <c r="A136" t="s">
        <v>9</v>
      </c>
      <c r="B136" t="s">
        <v>10</v>
      </c>
      <c r="C136">
        <v>513</v>
      </c>
      <c r="D136">
        <v>510</v>
      </c>
      <c r="E136">
        <v>3</v>
      </c>
      <c r="F136" s="3">
        <v>99.42</v>
      </c>
      <c r="G136" t="s">
        <v>102</v>
      </c>
      <c r="H136" t="s">
        <v>103</v>
      </c>
      <c r="I136" t="s">
        <v>93</v>
      </c>
    </row>
    <row r="137" spans="1:9" x14ac:dyDescent="0.3">
      <c r="A137" t="s">
        <v>9</v>
      </c>
      <c r="B137" t="s">
        <v>15</v>
      </c>
      <c r="C137">
        <v>1182</v>
      </c>
      <c r="D137">
        <v>1179</v>
      </c>
      <c r="E137">
        <v>3</v>
      </c>
      <c r="F137" s="3">
        <v>99.75</v>
      </c>
      <c r="G137" t="s">
        <v>102</v>
      </c>
      <c r="H137" t="s">
        <v>103</v>
      </c>
      <c r="I137" t="s">
        <v>93</v>
      </c>
    </row>
    <row r="138" spans="1:9" x14ac:dyDescent="0.3">
      <c r="A138" t="s">
        <v>16</v>
      </c>
      <c r="B138" t="s">
        <v>104</v>
      </c>
      <c r="C138">
        <v>40</v>
      </c>
      <c r="D138">
        <v>40</v>
      </c>
      <c r="E138">
        <v>0</v>
      </c>
      <c r="F138" s="3">
        <v>100</v>
      </c>
      <c r="G138" t="s">
        <v>102</v>
      </c>
      <c r="H138" t="s">
        <v>103</v>
      </c>
      <c r="I138" t="s">
        <v>93</v>
      </c>
    </row>
    <row r="139" spans="1:9" x14ac:dyDescent="0.3">
      <c r="A139" t="s">
        <v>16</v>
      </c>
      <c r="B139" t="s">
        <v>81</v>
      </c>
      <c r="C139">
        <v>184</v>
      </c>
      <c r="D139">
        <v>182</v>
      </c>
      <c r="E139">
        <v>2</v>
      </c>
      <c r="F139" s="3">
        <v>98.91</v>
      </c>
      <c r="G139" t="s">
        <v>102</v>
      </c>
      <c r="H139" t="s">
        <v>103</v>
      </c>
      <c r="I139" t="s">
        <v>93</v>
      </c>
    </row>
    <row r="140" spans="1:9" x14ac:dyDescent="0.3">
      <c r="A140" t="s">
        <v>16</v>
      </c>
      <c r="B140" t="s">
        <v>105</v>
      </c>
      <c r="C140">
        <v>105</v>
      </c>
      <c r="D140">
        <v>94</v>
      </c>
      <c r="E140">
        <v>11</v>
      </c>
      <c r="F140" s="3">
        <v>89.52</v>
      </c>
      <c r="G140" t="s">
        <v>102</v>
      </c>
      <c r="H140" t="s">
        <v>103</v>
      </c>
      <c r="I140" t="s">
        <v>93</v>
      </c>
    </row>
    <row r="141" spans="1:9" x14ac:dyDescent="0.3">
      <c r="A141" t="s">
        <v>16</v>
      </c>
      <c r="B141" t="s">
        <v>19</v>
      </c>
      <c r="C141">
        <v>329</v>
      </c>
      <c r="D141">
        <v>316</v>
      </c>
      <c r="E141">
        <v>13</v>
      </c>
      <c r="F141" s="3">
        <v>96.05</v>
      </c>
      <c r="G141" t="s">
        <v>102</v>
      </c>
      <c r="H141" t="s">
        <v>103</v>
      </c>
      <c r="I141" t="s">
        <v>93</v>
      </c>
    </row>
    <row r="142" spans="1:9" x14ac:dyDescent="0.3">
      <c r="A142" t="s">
        <v>20</v>
      </c>
      <c r="B142" t="s">
        <v>61</v>
      </c>
      <c r="C142">
        <v>12</v>
      </c>
      <c r="D142">
        <v>9</v>
      </c>
      <c r="E142">
        <v>3</v>
      </c>
      <c r="F142" s="3">
        <v>75</v>
      </c>
      <c r="G142" t="s">
        <v>102</v>
      </c>
      <c r="H142" t="s">
        <v>103</v>
      </c>
      <c r="I142" t="s">
        <v>93</v>
      </c>
    </row>
    <row r="143" spans="1:9" x14ac:dyDescent="0.3">
      <c r="A143" t="s">
        <v>20</v>
      </c>
      <c r="B143" t="s">
        <v>63</v>
      </c>
      <c r="C143">
        <v>8</v>
      </c>
      <c r="D143">
        <v>8</v>
      </c>
      <c r="E143">
        <v>0</v>
      </c>
      <c r="F143" s="3">
        <v>100</v>
      </c>
      <c r="G143" t="s">
        <v>102</v>
      </c>
      <c r="H143" t="s">
        <v>103</v>
      </c>
      <c r="I143" t="s">
        <v>93</v>
      </c>
    </row>
    <row r="144" spans="1:9" x14ac:dyDescent="0.3">
      <c r="A144" t="s">
        <v>20</v>
      </c>
      <c r="B144" t="s">
        <v>98</v>
      </c>
      <c r="C144">
        <v>49</v>
      </c>
      <c r="D144">
        <v>49</v>
      </c>
      <c r="E144">
        <v>0</v>
      </c>
      <c r="F144" s="3">
        <v>100</v>
      </c>
      <c r="G144" t="s">
        <v>102</v>
      </c>
      <c r="H144" t="s">
        <v>103</v>
      </c>
      <c r="I144" t="s">
        <v>93</v>
      </c>
    </row>
    <row r="145" spans="1:9" x14ac:dyDescent="0.3">
      <c r="A145" t="s">
        <v>20</v>
      </c>
      <c r="B145" t="s">
        <v>32</v>
      </c>
      <c r="C145">
        <v>390</v>
      </c>
      <c r="D145">
        <v>388</v>
      </c>
      <c r="E145">
        <v>2</v>
      </c>
      <c r="F145" s="3">
        <v>99.49</v>
      </c>
      <c r="G145" t="s">
        <v>102</v>
      </c>
      <c r="H145" t="s">
        <v>103</v>
      </c>
      <c r="I145" t="s">
        <v>93</v>
      </c>
    </row>
    <row r="146" spans="1:9" x14ac:dyDescent="0.3">
      <c r="A146" t="s">
        <v>20</v>
      </c>
      <c r="B146" t="s">
        <v>33</v>
      </c>
      <c r="C146">
        <v>103</v>
      </c>
      <c r="D146">
        <v>102</v>
      </c>
      <c r="E146">
        <v>1</v>
      </c>
      <c r="F146" s="3">
        <v>99.03</v>
      </c>
      <c r="G146" t="s">
        <v>102</v>
      </c>
      <c r="H146" t="s">
        <v>103</v>
      </c>
      <c r="I146" t="s">
        <v>93</v>
      </c>
    </row>
    <row r="147" spans="1:9" x14ac:dyDescent="0.3">
      <c r="A147" t="s">
        <v>20</v>
      </c>
      <c r="B147" t="s">
        <v>35</v>
      </c>
      <c r="C147">
        <v>562</v>
      </c>
      <c r="D147">
        <v>556</v>
      </c>
      <c r="E147">
        <v>6</v>
      </c>
      <c r="F147" s="3">
        <v>98.93</v>
      </c>
      <c r="G147" t="s">
        <v>102</v>
      </c>
      <c r="H147" t="s">
        <v>103</v>
      </c>
      <c r="I147" t="s">
        <v>93</v>
      </c>
    </row>
    <row r="148" spans="1:9" x14ac:dyDescent="0.3">
      <c r="A148" t="s">
        <v>24</v>
      </c>
      <c r="B148" t="s">
        <v>65</v>
      </c>
      <c r="C148">
        <v>51</v>
      </c>
      <c r="D148">
        <v>51</v>
      </c>
      <c r="E148">
        <v>0</v>
      </c>
      <c r="F148" s="3">
        <v>100</v>
      </c>
      <c r="G148" t="s">
        <v>102</v>
      </c>
      <c r="H148" t="s">
        <v>103</v>
      </c>
      <c r="I148" t="s">
        <v>93</v>
      </c>
    </row>
    <row r="149" spans="1:9" x14ac:dyDescent="0.3">
      <c r="A149" t="s">
        <v>24</v>
      </c>
      <c r="B149" t="s">
        <v>106</v>
      </c>
      <c r="C149">
        <v>1</v>
      </c>
      <c r="D149">
        <v>1</v>
      </c>
      <c r="E149">
        <v>0</v>
      </c>
      <c r="F149" s="3">
        <v>100</v>
      </c>
      <c r="G149" t="s">
        <v>102</v>
      </c>
      <c r="H149" t="s">
        <v>103</v>
      </c>
      <c r="I149" t="s">
        <v>93</v>
      </c>
    </row>
    <row r="150" spans="1:9" x14ac:dyDescent="0.3">
      <c r="A150" t="s">
        <v>24</v>
      </c>
      <c r="B150" t="s">
        <v>37</v>
      </c>
      <c r="C150">
        <v>52</v>
      </c>
      <c r="D150">
        <v>52</v>
      </c>
      <c r="E150">
        <v>0</v>
      </c>
      <c r="F150" s="3">
        <v>100</v>
      </c>
      <c r="G150" t="s">
        <v>102</v>
      </c>
      <c r="H150" t="s">
        <v>103</v>
      </c>
      <c r="I150" t="s">
        <v>93</v>
      </c>
    </row>
    <row r="151" spans="1:9" x14ac:dyDescent="0.3">
      <c r="A151" t="s">
        <v>9</v>
      </c>
      <c r="B151" t="s">
        <v>66</v>
      </c>
      <c r="C151">
        <v>8</v>
      </c>
      <c r="D151">
        <v>0</v>
      </c>
      <c r="E151">
        <v>8</v>
      </c>
      <c r="F151" s="3">
        <v>0</v>
      </c>
      <c r="G151" t="s">
        <v>107</v>
      </c>
      <c r="H151" t="s">
        <v>39</v>
      </c>
      <c r="I151" t="s">
        <v>40</v>
      </c>
    </row>
    <row r="152" spans="1:9" x14ac:dyDescent="0.3">
      <c r="A152" t="s">
        <v>9</v>
      </c>
      <c r="B152" t="s">
        <v>108</v>
      </c>
      <c r="C152">
        <v>204</v>
      </c>
      <c r="D152">
        <v>59</v>
      </c>
      <c r="E152">
        <v>145</v>
      </c>
      <c r="F152" s="3">
        <v>28.92</v>
      </c>
      <c r="G152" t="s">
        <v>107</v>
      </c>
      <c r="H152" t="s">
        <v>39</v>
      </c>
      <c r="I152" t="s">
        <v>40</v>
      </c>
    </row>
    <row r="153" spans="1:9" x14ac:dyDescent="0.3">
      <c r="A153" t="s">
        <v>9</v>
      </c>
      <c r="B153" t="s">
        <v>15</v>
      </c>
      <c r="C153">
        <v>212</v>
      </c>
      <c r="D153">
        <v>59</v>
      </c>
      <c r="E153">
        <v>153</v>
      </c>
      <c r="F153" s="3">
        <v>27.83</v>
      </c>
      <c r="G153" t="s">
        <v>107</v>
      </c>
      <c r="H153" t="s">
        <v>39</v>
      </c>
      <c r="I153" t="s">
        <v>40</v>
      </c>
    </row>
    <row r="154" spans="1:9" x14ac:dyDescent="0.3">
      <c r="A154" t="s">
        <v>16</v>
      </c>
      <c r="B154" t="s">
        <v>81</v>
      </c>
      <c r="C154">
        <v>4</v>
      </c>
      <c r="D154">
        <v>0</v>
      </c>
      <c r="E154">
        <v>4</v>
      </c>
      <c r="F154" s="3">
        <v>0</v>
      </c>
      <c r="G154" t="s">
        <v>107</v>
      </c>
      <c r="H154" t="s">
        <v>39</v>
      </c>
      <c r="I154" t="s">
        <v>40</v>
      </c>
    </row>
    <row r="155" spans="1:9" x14ac:dyDescent="0.3">
      <c r="A155" t="s">
        <v>16</v>
      </c>
      <c r="B155" t="s">
        <v>19</v>
      </c>
      <c r="C155">
        <v>4</v>
      </c>
      <c r="D155">
        <v>0</v>
      </c>
      <c r="E155">
        <v>4</v>
      </c>
      <c r="F155" s="3">
        <v>0</v>
      </c>
      <c r="G155" t="s">
        <v>107</v>
      </c>
      <c r="H155" t="s">
        <v>39</v>
      </c>
      <c r="I155" t="s">
        <v>40</v>
      </c>
    </row>
    <row r="156" spans="1:9" x14ac:dyDescent="0.3">
      <c r="A156" t="s">
        <v>20</v>
      </c>
      <c r="B156" t="s">
        <v>109</v>
      </c>
      <c r="C156">
        <v>192</v>
      </c>
      <c r="D156">
        <v>54</v>
      </c>
      <c r="E156">
        <v>138</v>
      </c>
      <c r="F156" s="3">
        <v>28.13</v>
      </c>
      <c r="G156" t="s">
        <v>107</v>
      </c>
      <c r="H156" t="s">
        <v>39</v>
      </c>
      <c r="I156" t="s">
        <v>40</v>
      </c>
    </row>
    <row r="157" spans="1:9" x14ac:dyDescent="0.3">
      <c r="A157" t="s">
        <v>20</v>
      </c>
      <c r="B157" t="s">
        <v>110</v>
      </c>
      <c r="C157">
        <v>59</v>
      </c>
      <c r="D157">
        <v>25</v>
      </c>
      <c r="E157">
        <v>34</v>
      </c>
      <c r="F157" s="3">
        <v>42.37</v>
      </c>
      <c r="G157" t="s">
        <v>107</v>
      </c>
      <c r="H157" t="s">
        <v>39</v>
      </c>
      <c r="I157" t="s">
        <v>40</v>
      </c>
    </row>
    <row r="158" spans="1:9" x14ac:dyDescent="0.3">
      <c r="A158" t="s">
        <v>20</v>
      </c>
      <c r="B158" t="s">
        <v>35</v>
      </c>
      <c r="C158">
        <v>251</v>
      </c>
      <c r="D158">
        <v>79</v>
      </c>
      <c r="E158">
        <v>172</v>
      </c>
      <c r="F158" s="3">
        <v>31.47</v>
      </c>
      <c r="G158" t="s">
        <v>107</v>
      </c>
      <c r="H158" t="s">
        <v>39</v>
      </c>
      <c r="I158" t="s">
        <v>40</v>
      </c>
    </row>
    <row r="159" spans="1:9" x14ac:dyDescent="0.3">
      <c r="A159" t="s">
        <v>9</v>
      </c>
      <c r="B159" t="s">
        <v>10</v>
      </c>
      <c r="C159">
        <v>1251</v>
      </c>
      <c r="D159">
        <v>1251</v>
      </c>
      <c r="E159">
        <v>0</v>
      </c>
      <c r="F159" s="3">
        <v>100</v>
      </c>
      <c r="G159" t="s">
        <v>111</v>
      </c>
      <c r="H159" t="s">
        <v>112</v>
      </c>
      <c r="I159" t="s">
        <v>113</v>
      </c>
    </row>
    <row r="160" spans="1:9" x14ac:dyDescent="0.3">
      <c r="A160" t="s">
        <v>9</v>
      </c>
      <c r="B160" t="s">
        <v>157</v>
      </c>
      <c r="C160">
        <v>14501</v>
      </c>
      <c r="D160">
        <v>14501</v>
      </c>
      <c r="E160">
        <v>0</v>
      </c>
      <c r="F160" s="3">
        <v>100</v>
      </c>
      <c r="G160" t="s">
        <v>111</v>
      </c>
      <c r="H160" t="s">
        <v>112</v>
      </c>
      <c r="I160" t="s">
        <v>113</v>
      </c>
    </row>
    <row r="161" spans="1:9" x14ac:dyDescent="0.3">
      <c r="A161" t="s">
        <v>9</v>
      </c>
      <c r="B161" t="s">
        <v>15</v>
      </c>
      <c r="C161">
        <v>15752</v>
      </c>
      <c r="D161">
        <v>15752</v>
      </c>
      <c r="E161">
        <v>0</v>
      </c>
      <c r="F161" s="3">
        <v>100</v>
      </c>
      <c r="G161" t="s">
        <v>111</v>
      </c>
      <c r="H161" t="s">
        <v>112</v>
      </c>
      <c r="I161" t="s">
        <v>113</v>
      </c>
    </row>
    <row r="162" spans="1:9" x14ac:dyDescent="0.3">
      <c r="A162" t="s">
        <v>16</v>
      </c>
      <c r="B162" t="s">
        <v>88</v>
      </c>
      <c r="C162">
        <v>4429</v>
      </c>
      <c r="D162">
        <v>4429</v>
      </c>
      <c r="E162">
        <v>0</v>
      </c>
      <c r="F162" s="3">
        <v>100</v>
      </c>
      <c r="G162" t="s">
        <v>111</v>
      </c>
      <c r="H162" t="s">
        <v>112</v>
      </c>
      <c r="I162" t="s">
        <v>113</v>
      </c>
    </row>
    <row r="163" spans="1:9" x14ac:dyDescent="0.3">
      <c r="A163" t="s">
        <v>16</v>
      </c>
      <c r="B163" t="s">
        <v>19</v>
      </c>
      <c r="C163">
        <v>4429</v>
      </c>
      <c r="D163">
        <v>4429</v>
      </c>
      <c r="E163">
        <v>0</v>
      </c>
      <c r="F163" s="3">
        <v>100</v>
      </c>
      <c r="G163" t="s">
        <v>111</v>
      </c>
      <c r="H163" t="s">
        <v>112</v>
      </c>
      <c r="I163" t="s">
        <v>113</v>
      </c>
    </row>
    <row r="164" spans="1:9" x14ac:dyDescent="0.3">
      <c r="A164" t="s">
        <v>20</v>
      </c>
      <c r="B164" t="s">
        <v>31</v>
      </c>
      <c r="C164">
        <v>129</v>
      </c>
      <c r="D164">
        <v>129</v>
      </c>
      <c r="E164">
        <v>0</v>
      </c>
      <c r="F164" s="3">
        <v>100</v>
      </c>
      <c r="G164" t="s">
        <v>111</v>
      </c>
      <c r="H164" t="s">
        <v>112</v>
      </c>
      <c r="I164" t="s">
        <v>113</v>
      </c>
    </row>
    <row r="165" spans="1:9" x14ac:dyDescent="0.3">
      <c r="A165" t="s">
        <v>20</v>
      </c>
      <c r="B165" t="s">
        <v>33</v>
      </c>
      <c r="C165">
        <v>12</v>
      </c>
      <c r="D165">
        <v>12</v>
      </c>
      <c r="E165">
        <v>0</v>
      </c>
      <c r="F165" s="3">
        <v>100</v>
      </c>
      <c r="G165" t="s">
        <v>111</v>
      </c>
      <c r="H165" t="s">
        <v>112</v>
      </c>
      <c r="I165" t="s">
        <v>113</v>
      </c>
    </row>
    <row r="166" spans="1:9" x14ac:dyDescent="0.3">
      <c r="A166" t="s">
        <v>20</v>
      </c>
      <c r="B166" t="s">
        <v>35</v>
      </c>
      <c r="C166">
        <v>141</v>
      </c>
      <c r="D166">
        <v>141</v>
      </c>
      <c r="E166">
        <v>0</v>
      </c>
      <c r="F166" s="3">
        <v>100</v>
      </c>
      <c r="G166" t="s">
        <v>111</v>
      </c>
      <c r="H166" t="s">
        <v>112</v>
      </c>
      <c r="I166" t="s">
        <v>113</v>
      </c>
    </row>
    <row r="167" spans="1:9" x14ac:dyDescent="0.3">
      <c r="A167" t="s">
        <v>16</v>
      </c>
      <c r="B167" t="s">
        <v>114</v>
      </c>
      <c r="C167">
        <v>507</v>
      </c>
      <c r="D167">
        <v>507</v>
      </c>
      <c r="E167">
        <v>0</v>
      </c>
      <c r="F167" s="3">
        <v>100</v>
      </c>
      <c r="G167" t="s">
        <v>115</v>
      </c>
      <c r="H167" t="s">
        <v>116</v>
      </c>
      <c r="I167" t="s">
        <v>40</v>
      </c>
    </row>
    <row r="168" spans="1:9" x14ac:dyDescent="0.3">
      <c r="A168" t="s">
        <v>16</v>
      </c>
      <c r="B168" t="s">
        <v>117</v>
      </c>
      <c r="C168">
        <v>1500</v>
      </c>
      <c r="D168">
        <v>1500</v>
      </c>
      <c r="E168">
        <v>0</v>
      </c>
      <c r="F168" s="3">
        <v>100</v>
      </c>
      <c r="G168" t="s">
        <v>115</v>
      </c>
      <c r="H168" t="s">
        <v>116</v>
      </c>
      <c r="I168" t="s">
        <v>40</v>
      </c>
    </row>
    <row r="169" spans="1:9" x14ac:dyDescent="0.3">
      <c r="A169" t="s">
        <v>16</v>
      </c>
      <c r="B169" t="s">
        <v>19</v>
      </c>
      <c r="C169">
        <v>2007</v>
      </c>
      <c r="D169">
        <v>2007</v>
      </c>
      <c r="E169">
        <v>0</v>
      </c>
      <c r="F169" s="3">
        <v>100</v>
      </c>
      <c r="G169" t="s">
        <v>115</v>
      </c>
      <c r="H169" t="s">
        <v>116</v>
      </c>
      <c r="I169" t="s">
        <v>40</v>
      </c>
    </row>
    <row r="170" spans="1:9" x14ac:dyDescent="0.3">
      <c r="A170" t="s">
        <v>20</v>
      </c>
      <c r="B170" t="s">
        <v>21</v>
      </c>
      <c r="C170">
        <v>61</v>
      </c>
      <c r="D170">
        <v>61</v>
      </c>
      <c r="E170">
        <v>0</v>
      </c>
      <c r="F170" s="3">
        <v>100</v>
      </c>
      <c r="G170" t="s">
        <v>115</v>
      </c>
      <c r="H170" t="s">
        <v>116</v>
      </c>
      <c r="I170" t="s">
        <v>40</v>
      </c>
    </row>
    <row r="171" spans="1:9" x14ac:dyDescent="0.3">
      <c r="A171" t="s">
        <v>20</v>
      </c>
      <c r="B171" t="s">
        <v>63</v>
      </c>
      <c r="C171">
        <v>61</v>
      </c>
      <c r="D171">
        <v>61</v>
      </c>
      <c r="E171">
        <v>0</v>
      </c>
      <c r="F171" s="3">
        <v>100</v>
      </c>
      <c r="G171" t="s">
        <v>115</v>
      </c>
      <c r="H171" t="s">
        <v>116</v>
      </c>
      <c r="I171" t="s">
        <v>40</v>
      </c>
    </row>
    <row r="172" spans="1:9" x14ac:dyDescent="0.3">
      <c r="A172" t="s">
        <v>20</v>
      </c>
      <c r="B172" t="s">
        <v>32</v>
      </c>
      <c r="C172">
        <v>63</v>
      </c>
      <c r="D172">
        <v>63</v>
      </c>
      <c r="E172">
        <v>0</v>
      </c>
      <c r="F172" s="3">
        <v>100</v>
      </c>
      <c r="G172" t="s">
        <v>115</v>
      </c>
      <c r="H172" t="s">
        <v>116</v>
      </c>
      <c r="I172" t="s">
        <v>40</v>
      </c>
    </row>
    <row r="173" spans="1:9" x14ac:dyDescent="0.3">
      <c r="A173" t="s">
        <v>20</v>
      </c>
      <c r="B173" t="s">
        <v>33</v>
      </c>
      <c r="C173">
        <v>38</v>
      </c>
      <c r="D173">
        <v>38</v>
      </c>
      <c r="E173">
        <v>0</v>
      </c>
      <c r="F173" s="3">
        <v>100</v>
      </c>
      <c r="G173" t="s">
        <v>115</v>
      </c>
      <c r="H173" t="s">
        <v>116</v>
      </c>
      <c r="I173" t="s">
        <v>40</v>
      </c>
    </row>
    <row r="174" spans="1:9" x14ac:dyDescent="0.3">
      <c r="A174" t="s">
        <v>20</v>
      </c>
      <c r="B174" t="s">
        <v>35</v>
      </c>
      <c r="C174">
        <v>223</v>
      </c>
      <c r="D174">
        <v>223</v>
      </c>
      <c r="E174">
        <v>0</v>
      </c>
      <c r="F174" s="3">
        <v>100</v>
      </c>
      <c r="G174" t="s">
        <v>115</v>
      </c>
      <c r="H174" t="s">
        <v>116</v>
      </c>
      <c r="I174" t="s">
        <v>40</v>
      </c>
    </row>
    <row r="175" spans="1:9" x14ac:dyDescent="0.3">
      <c r="A175" t="s">
        <v>9</v>
      </c>
      <c r="B175" t="s">
        <v>10</v>
      </c>
      <c r="C175">
        <v>86</v>
      </c>
      <c r="D175">
        <v>78</v>
      </c>
      <c r="E175">
        <v>8</v>
      </c>
      <c r="F175" s="3">
        <v>90.7</v>
      </c>
      <c r="G175" t="s">
        <v>118</v>
      </c>
      <c r="H175" t="s">
        <v>119</v>
      </c>
      <c r="I175" t="s">
        <v>13</v>
      </c>
    </row>
    <row r="176" spans="1:9" x14ac:dyDescent="0.3">
      <c r="A176" t="s">
        <v>9</v>
      </c>
      <c r="B176" t="s">
        <v>66</v>
      </c>
      <c r="C176">
        <v>21</v>
      </c>
      <c r="D176">
        <v>21</v>
      </c>
      <c r="E176">
        <v>0</v>
      </c>
      <c r="F176" s="3">
        <v>100</v>
      </c>
      <c r="G176" t="s">
        <v>118</v>
      </c>
      <c r="H176" t="s">
        <v>119</v>
      </c>
      <c r="I176" t="s">
        <v>13</v>
      </c>
    </row>
    <row r="177" spans="1:9" x14ac:dyDescent="0.3">
      <c r="A177" t="s">
        <v>9</v>
      </c>
      <c r="B177" t="s">
        <v>56</v>
      </c>
      <c r="C177">
        <v>25</v>
      </c>
      <c r="D177">
        <v>24</v>
      </c>
      <c r="E177">
        <v>1</v>
      </c>
      <c r="F177" s="3">
        <v>96</v>
      </c>
      <c r="G177" t="s">
        <v>118</v>
      </c>
      <c r="H177" t="s">
        <v>119</v>
      </c>
      <c r="I177" t="s">
        <v>13</v>
      </c>
    </row>
    <row r="178" spans="1:9" x14ac:dyDescent="0.3">
      <c r="A178" t="s">
        <v>9</v>
      </c>
      <c r="B178" t="s">
        <v>15</v>
      </c>
      <c r="C178">
        <v>132</v>
      </c>
      <c r="D178">
        <v>123</v>
      </c>
      <c r="E178">
        <v>9</v>
      </c>
      <c r="F178" s="3">
        <v>93.18</v>
      </c>
      <c r="G178" t="s">
        <v>118</v>
      </c>
      <c r="H178" t="s">
        <v>119</v>
      </c>
      <c r="I178" t="s">
        <v>13</v>
      </c>
    </row>
    <row r="179" spans="1:9" x14ac:dyDescent="0.3">
      <c r="A179" t="s">
        <v>16</v>
      </c>
      <c r="B179" t="s">
        <v>81</v>
      </c>
      <c r="C179">
        <v>145</v>
      </c>
      <c r="D179">
        <v>139</v>
      </c>
      <c r="E179">
        <v>6</v>
      </c>
      <c r="F179" s="3">
        <v>95.86</v>
      </c>
      <c r="G179" t="s">
        <v>118</v>
      </c>
      <c r="H179" t="s">
        <v>119</v>
      </c>
      <c r="I179" t="s">
        <v>13</v>
      </c>
    </row>
    <row r="180" spans="1:9" x14ac:dyDescent="0.3">
      <c r="A180" t="s">
        <v>16</v>
      </c>
      <c r="B180" t="s">
        <v>28</v>
      </c>
      <c r="C180">
        <v>58</v>
      </c>
      <c r="D180">
        <v>58</v>
      </c>
      <c r="E180">
        <v>0</v>
      </c>
      <c r="F180" s="3">
        <v>100</v>
      </c>
      <c r="G180" t="s">
        <v>118</v>
      </c>
      <c r="H180" t="s">
        <v>119</v>
      </c>
      <c r="I180" t="s">
        <v>13</v>
      </c>
    </row>
    <row r="181" spans="1:9" x14ac:dyDescent="0.3">
      <c r="A181" t="s">
        <v>16</v>
      </c>
      <c r="B181" t="s">
        <v>120</v>
      </c>
      <c r="C181">
        <v>100</v>
      </c>
      <c r="D181">
        <v>100</v>
      </c>
      <c r="E181">
        <v>0</v>
      </c>
      <c r="F181" s="3">
        <v>100</v>
      </c>
      <c r="G181" t="s">
        <v>118</v>
      </c>
      <c r="H181" t="s">
        <v>119</v>
      </c>
      <c r="I181" t="s">
        <v>13</v>
      </c>
    </row>
    <row r="182" spans="1:9" x14ac:dyDescent="0.3">
      <c r="A182" t="s">
        <v>16</v>
      </c>
      <c r="B182" t="s">
        <v>18</v>
      </c>
      <c r="C182">
        <v>27</v>
      </c>
      <c r="D182">
        <v>27</v>
      </c>
      <c r="E182">
        <v>0</v>
      </c>
      <c r="F182" s="3">
        <v>100</v>
      </c>
      <c r="G182" t="s">
        <v>118</v>
      </c>
      <c r="H182" t="s">
        <v>119</v>
      </c>
      <c r="I182" t="s">
        <v>13</v>
      </c>
    </row>
    <row r="183" spans="1:9" x14ac:dyDescent="0.3">
      <c r="A183" t="s">
        <v>16</v>
      </c>
      <c r="B183" t="s">
        <v>19</v>
      </c>
      <c r="C183">
        <v>330</v>
      </c>
      <c r="D183">
        <v>324</v>
      </c>
      <c r="E183">
        <v>6</v>
      </c>
      <c r="F183" s="3">
        <v>98.18</v>
      </c>
      <c r="G183" t="s">
        <v>118</v>
      </c>
      <c r="H183" t="s">
        <v>119</v>
      </c>
      <c r="I183" t="s">
        <v>13</v>
      </c>
    </row>
    <row r="184" spans="1:9" x14ac:dyDescent="0.3">
      <c r="A184" t="s">
        <v>20</v>
      </c>
      <c r="B184" t="s">
        <v>21</v>
      </c>
      <c r="C184">
        <v>24</v>
      </c>
      <c r="D184">
        <v>24</v>
      </c>
      <c r="E184">
        <v>0</v>
      </c>
      <c r="F184" s="3">
        <v>100</v>
      </c>
      <c r="G184" t="s">
        <v>118</v>
      </c>
      <c r="H184" t="s">
        <v>119</v>
      </c>
      <c r="I184" t="s">
        <v>13</v>
      </c>
    </row>
    <row r="185" spans="1:9" x14ac:dyDescent="0.3">
      <c r="A185" t="s">
        <v>20</v>
      </c>
      <c r="B185" t="s">
        <v>121</v>
      </c>
      <c r="C185">
        <v>119</v>
      </c>
      <c r="D185">
        <v>117</v>
      </c>
      <c r="E185">
        <v>2</v>
      </c>
      <c r="F185" s="3">
        <v>98.32</v>
      </c>
      <c r="G185" t="s">
        <v>118</v>
      </c>
      <c r="H185" t="s">
        <v>119</v>
      </c>
      <c r="I185" t="s">
        <v>13</v>
      </c>
    </row>
    <row r="186" spans="1:9" x14ac:dyDescent="0.3">
      <c r="A186" t="s">
        <v>20</v>
      </c>
      <c r="B186" t="s">
        <v>122</v>
      </c>
      <c r="C186">
        <v>41</v>
      </c>
      <c r="D186">
        <v>39</v>
      </c>
      <c r="E186">
        <v>2</v>
      </c>
      <c r="F186" s="3">
        <v>95.12</v>
      </c>
      <c r="G186" t="s">
        <v>118</v>
      </c>
      <c r="H186" t="s">
        <v>119</v>
      </c>
      <c r="I186" t="s">
        <v>13</v>
      </c>
    </row>
    <row r="187" spans="1:9" x14ac:dyDescent="0.3">
      <c r="A187" t="s">
        <v>20</v>
      </c>
      <c r="B187" t="s">
        <v>76</v>
      </c>
      <c r="C187">
        <v>121</v>
      </c>
      <c r="D187">
        <v>117</v>
      </c>
      <c r="E187">
        <v>4</v>
      </c>
      <c r="F187" s="3">
        <v>96.69</v>
      </c>
      <c r="G187" t="s">
        <v>118</v>
      </c>
      <c r="H187" t="s">
        <v>119</v>
      </c>
      <c r="I187" t="s">
        <v>13</v>
      </c>
    </row>
    <row r="188" spans="1:9" x14ac:dyDescent="0.3">
      <c r="A188" t="s">
        <v>20</v>
      </c>
      <c r="B188" t="s">
        <v>32</v>
      </c>
      <c r="C188">
        <v>108</v>
      </c>
      <c r="D188">
        <v>104</v>
      </c>
      <c r="E188">
        <v>4</v>
      </c>
      <c r="F188" s="3">
        <v>96.3</v>
      </c>
      <c r="G188" t="s">
        <v>118</v>
      </c>
      <c r="H188" t="s">
        <v>119</v>
      </c>
      <c r="I188" t="s">
        <v>13</v>
      </c>
    </row>
    <row r="189" spans="1:9" x14ac:dyDescent="0.3">
      <c r="A189" t="s">
        <v>20</v>
      </c>
      <c r="B189" t="s">
        <v>33</v>
      </c>
      <c r="C189">
        <v>3</v>
      </c>
      <c r="D189">
        <v>1</v>
      </c>
      <c r="E189">
        <v>2</v>
      </c>
      <c r="F189" s="3">
        <v>33.33</v>
      </c>
      <c r="G189" t="s">
        <v>118</v>
      </c>
      <c r="H189" t="s">
        <v>119</v>
      </c>
      <c r="I189" t="s">
        <v>13</v>
      </c>
    </row>
    <row r="190" spans="1:9" x14ac:dyDescent="0.3">
      <c r="A190" t="s">
        <v>20</v>
      </c>
      <c r="B190" t="s">
        <v>35</v>
      </c>
      <c r="C190">
        <v>416</v>
      </c>
      <c r="D190">
        <v>402</v>
      </c>
      <c r="E190">
        <v>14</v>
      </c>
      <c r="F190" s="3">
        <v>96.63</v>
      </c>
      <c r="G190" t="s">
        <v>118</v>
      </c>
      <c r="H190" t="s">
        <v>119</v>
      </c>
      <c r="I190" t="s">
        <v>13</v>
      </c>
    </row>
    <row r="191" spans="1:9" x14ac:dyDescent="0.3">
      <c r="A191" t="s">
        <v>9</v>
      </c>
      <c r="B191" t="s">
        <v>66</v>
      </c>
      <c r="C191">
        <v>18</v>
      </c>
      <c r="D191">
        <v>15</v>
      </c>
      <c r="E191">
        <v>3</v>
      </c>
      <c r="F191" s="3">
        <v>83.33</v>
      </c>
      <c r="G191" t="s">
        <v>123</v>
      </c>
      <c r="H191" t="s">
        <v>119</v>
      </c>
      <c r="I191" t="s">
        <v>13</v>
      </c>
    </row>
    <row r="192" spans="1:9" x14ac:dyDescent="0.3">
      <c r="A192" t="s">
        <v>9</v>
      </c>
      <c r="B192" t="s">
        <v>10</v>
      </c>
      <c r="C192">
        <v>44</v>
      </c>
      <c r="D192">
        <v>44</v>
      </c>
      <c r="E192">
        <v>0</v>
      </c>
      <c r="F192" s="3">
        <v>100</v>
      </c>
      <c r="G192" t="s">
        <v>123</v>
      </c>
      <c r="H192" t="s">
        <v>119</v>
      </c>
      <c r="I192" t="s">
        <v>13</v>
      </c>
    </row>
    <row r="193" spans="1:9" x14ac:dyDescent="0.3">
      <c r="A193" t="s">
        <v>9</v>
      </c>
      <c r="B193" t="s">
        <v>15</v>
      </c>
      <c r="C193">
        <v>62</v>
      </c>
      <c r="D193">
        <v>59</v>
      </c>
      <c r="E193">
        <v>3</v>
      </c>
      <c r="F193" s="3">
        <v>95.16</v>
      </c>
      <c r="G193" t="s">
        <v>123</v>
      </c>
      <c r="H193" t="s">
        <v>119</v>
      </c>
      <c r="I193" t="s">
        <v>13</v>
      </c>
    </row>
    <row r="194" spans="1:9" x14ac:dyDescent="0.3">
      <c r="A194" t="s">
        <v>16</v>
      </c>
      <c r="B194" t="s">
        <v>81</v>
      </c>
      <c r="C194">
        <v>40</v>
      </c>
      <c r="D194">
        <v>40</v>
      </c>
      <c r="E194">
        <v>0</v>
      </c>
      <c r="F194" s="3">
        <v>100</v>
      </c>
      <c r="G194" t="s">
        <v>123</v>
      </c>
      <c r="H194" t="s">
        <v>119</v>
      </c>
      <c r="I194" t="s">
        <v>13</v>
      </c>
    </row>
    <row r="195" spans="1:9" x14ac:dyDescent="0.3">
      <c r="A195" t="s">
        <v>16</v>
      </c>
      <c r="B195" t="s">
        <v>82</v>
      </c>
      <c r="C195">
        <v>2</v>
      </c>
      <c r="D195">
        <v>2</v>
      </c>
      <c r="E195">
        <v>0</v>
      </c>
      <c r="F195" s="3">
        <v>100</v>
      </c>
      <c r="G195" t="s">
        <v>123</v>
      </c>
      <c r="H195" t="s">
        <v>119</v>
      </c>
      <c r="I195" t="s">
        <v>13</v>
      </c>
    </row>
    <row r="196" spans="1:9" x14ac:dyDescent="0.3">
      <c r="A196" t="s">
        <v>16</v>
      </c>
      <c r="B196" t="s">
        <v>124</v>
      </c>
      <c r="C196">
        <v>800</v>
      </c>
      <c r="D196">
        <v>800</v>
      </c>
      <c r="E196">
        <v>0</v>
      </c>
      <c r="F196" s="3">
        <v>100</v>
      </c>
      <c r="G196" t="s">
        <v>123</v>
      </c>
      <c r="H196" t="s">
        <v>119</v>
      </c>
      <c r="I196" t="s">
        <v>13</v>
      </c>
    </row>
    <row r="197" spans="1:9" x14ac:dyDescent="0.3">
      <c r="A197" t="s">
        <v>16</v>
      </c>
      <c r="B197" t="s">
        <v>19</v>
      </c>
      <c r="C197">
        <v>842</v>
      </c>
      <c r="D197">
        <v>842</v>
      </c>
      <c r="E197">
        <v>0</v>
      </c>
      <c r="F197" s="3">
        <v>100</v>
      </c>
      <c r="G197" t="s">
        <v>123</v>
      </c>
      <c r="H197" t="s">
        <v>119</v>
      </c>
      <c r="I197" t="s">
        <v>13</v>
      </c>
    </row>
    <row r="198" spans="1:9" x14ac:dyDescent="0.3">
      <c r="A198" t="s">
        <v>20</v>
      </c>
      <c r="B198" t="s">
        <v>21</v>
      </c>
      <c r="C198">
        <v>12</v>
      </c>
      <c r="D198">
        <v>11</v>
      </c>
      <c r="E198">
        <v>1</v>
      </c>
      <c r="F198" s="3">
        <v>91.67</v>
      </c>
      <c r="G198" t="s">
        <v>123</v>
      </c>
      <c r="H198" t="s">
        <v>119</v>
      </c>
      <c r="I198" t="s">
        <v>13</v>
      </c>
    </row>
    <row r="199" spans="1:9" x14ac:dyDescent="0.3">
      <c r="A199" t="s">
        <v>20</v>
      </c>
      <c r="B199" t="s">
        <v>22</v>
      </c>
      <c r="C199">
        <v>84</v>
      </c>
      <c r="D199">
        <v>84</v>
      </c>
      <c r="E199">
        <v>0</v>
      </c>
      <c r="F199" s="3">
        <v>100</v>
      </c>
      <c r="G199" t="s">
        <v>123</v>
      </c>
      <c r="H199" t="s">
        <v>119</v>
      </c>
      <c r="I199" t="s">
        <v>13</v>
      </c>
    </row>
    <row r="200" spans="1:9" x14ac:dyDescent="0.3">
      <c r="A200" t="s">
        <v>20</v>
      </c>
      <c r="B200" t="s">
        <v>98</v>
      </c>
      <c r="C200">
        <v>63</v>
      </c>
      <c r="D200">
        <v>63</v>
      </c>
      <c r="E200">
        <v>0</v>
      </c>
      <c r="F200" s="3">
        <v>100</v>
      </c>
      <c r="G200" t="s">
        <v>123</v>
      </c>
      <c r="H200" t="s">
        <v>119</v>
      </c>
      <c r="I200" t="s">
        <v>13</v>
      </c>
    </row>
    <row r="201" spans="1:9" x14ac:dyDescent="0.3">
      <c r="A201" t="s">
        <v>20</v>
      </c>
      <c r="B201" t="s">
        <v>34</v>
      </c>
      <c r="C201">
        <v>8</v>
      </c>
      <c r="D201">
        <v>8</v>
      </c>
      <c r="E201">
        <v>0</v>
      </c>
      <c r="F201" s="3">
        <v>100</v>
      </c>
      <c r="G201" t="s">
        <v>123</v>
      </c>
      <c r="H201" t="s">
        <v>119</v>
      </c>
      <c r="I201" t="s">
        <v>13</v>
      </c>
    </row>
    <row r="202" spans="1:9" x14ac:dyDescent="0.3">
      <c r="A202" t="s">
        <v>20</v>
      </c>
      <c r="B202" t="s">
        <v>125</v>
      </c>
      <c r="C202">
        <v>40</v>
      </c>
      <c r="D202">
        <v>37</v>
      </c>
      <c r="E202">
        <v>3</v>
      </c>
      <c r="F202" s="3">
        <v>92.5</v>
      </c>
      <c r="G202" t="s">
        <v>123</v>
      </c>
      <c r="H202" t="s">
        <v>119</v>
      </c>
      <c r="I202" t="s">
        <v>13</v>
      </c>
    </row>
    <row r="203" spans="1:9" x14ac:dyDescent="0.3">
      <c r="A203" t="s">
        <v>20</v>
      </c>
      <c r="B203" t="s">
        <v>85</v>
      </c>
      <c r="C203">
        <v>44</v>
      </c>
      <c r="D203">
        <v>30</v>
      </c>
      <c r="E203">
        <v>14</v>
      </c>
      <c r="F203" s="3">
        <v>68.180000000000007</v>
      </c>
      <c r="G203" t="s">
        <v>123</v>
      </c>
      <c r="H203" t="s">
        <v>119</v>
      </c>
      <c r="I203" t="s">
        <v>13</v>
      </c>
    </row>
    <row r="204" spans="1:9" x14ac:dyDescent="0.3">
      <c r="A204" t="s">
        <v>20</v>
      </c>
      <c r="B204" t="s">
        <v>90</v>
      </c>
      <c r="C204">
        <v>251</v>
      </c>
      <c r="D204">
        <v>233</v>
      </c>
      <c r="E204">
        <v>18</v>
      </c>
      <c r="F204" s="3">
        <v>92.83</v>
      </c>
      <c r="G204" t="s">
        <v>123</v>
      </c>
      <c r="H204" t="s">
        <v>119</v>
      </c>
      <c r="I204" t="s">
        <v>13</v>
      </c>
    </row>
    <row r="205" spans="1:9" x14ac:dyDescent="0.3">
      <c r="A205" t="s">
        <v>24</v>
      </c>
      <c r="B205" t="s">
        <v>78</v>
      </c>
      <c r="C205">
        <v>9</v>
      </c>
      <c r="D205">
        <v>9</v>
      </c>
      <c r="E205">
        <v>0</v>
      </c>
      <c r="F205" s="3">
        <v>100</v>
      </c>
      <c r="G205" t="s">
        <v>123</v>
      </c>
      <c r="H205" t="s">
        <v>119</v>
      </c>
      <c r="I205" t="s">
        <v>13</v>
      </c>
    </row>
    <row r="206" spans="1:9" x14ac:dyDescent="0.3">
      <c r="A206" t="s">
        <v>24</v>
      </c>
      <c r="B206" t="s">
        <v>126</v>
      </c>
      <c r="C206">
        <v>1</v>
      </c>
      <c r="D206">
        <v>1</v>
      </c>
      <c r="E206">
        <v>0</v>
      </c>
      <c r="F206" s="3">
        <v>100</v>
      </c>
      <c r="G206" t="s">
        <v>123</v>
      </c>
      <c r="H206" t="s">
        <v>119</v>
      </c>
      <c r="I206" t="s">
        <v>13</v>
      </c>
    </row>
    <row r="207" spans="1:9" x14ac:dyDescent="0.3">
      <c r="A207" t="s">
        <v>24</v>
      </c>
      <c r="B207" t="s">
        <v>37</v>
      </c>
      <c r="C207">
        <v>10</v>
      </c>
      <c r="D207">
        <v>10</v>
      </c>
      <c r="E207">
        <v>0</v>
      </c>
      <c r="F207" s="3">
        <v>100</v>
      </c>
      <c r="G207" t="s">
        <v>123</v>
      </c>
      <c r="H207" t="s">
        <v>119</v>
      </c>
      <c r="I207" t="s">
        <v>13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F4AD85D4-EAFE-47DB-AABE-05485397CB15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final</vt:lpstr>
      <vt:lpstr>Sheet1 (2)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Naveen</dc:creator>
  <cp:lastModifiedBy>Naveen</cp:lastModifiedBy>
  <dcterms:created xsi:type="dcterms:W3CDTF">2021-04-27T15:02:41Z</dcterms:created>
  <dcterms:modified xsi:type="dcterms:W3CDTF">2021-04-28T05:07:09Z</dcterms:modified>
</cp:coreProperties>
</file>